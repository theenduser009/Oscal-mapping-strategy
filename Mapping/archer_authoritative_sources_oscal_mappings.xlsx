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_source" sheetId="1" state="visible" r:id="rId1"/>
    <sheet name="sources_topic" sheetId="2" state="visible" r:id="rId2"/>
    <sheet name="sources_section" sheetId="3" state="visible" r:id="rId3"/>
    <sheet name="sources_sub_section" sheetId="4" state="visible" r:id="rId4"/>
  </sheets>
  <definedNames>
    <definedName name="_xlnm._FilterDatabase" localSheetId="0" hidden="1">'sources_source'!$A$1:$S$57</definedName>
    <definedName name="_xlnm._FilterDatabase" localSheetId="1" hidden="1">'sources_topic'!$A$1:$M$53</definedName>
    <definedName name="_xlnm._FilterDatabase" localSheetId="2" hidden="1">'sources_section'!$A$1:$M$63</definedName>
    <definedName name="_xlnm._FilterDatabase" localSheetId="3" hidden="1">'sources_sub_section'!$A$1:$M$74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7E6E6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7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46" customWidth="1" min="4" max="4"/>
    <col width="20" customWidth="1" min="5" max="5"/>
    <col width="44" customWidth="1" min="6" max="6"/>
    <col width="20" customWidth="1" min="7" max="7"/>
    <col width="18" customWidth="1" min="8" max="8"/>
    <col width="22" customWidth="1" min="9" max="9"/>
    <col width="34" customWidth="1" min="10" max="10"/>
    <col width="18" customWidth="1" min="11" max="11"/>
    <col width="46" customWidth="1" min="12" max="12"/>
    <col width="28" customWidth="1" min="13" max="13"/>
    <col width="27" customWidth="1" min="14" max="14"/>
    <col width="20" customWidth="1" min="15" max="15"/>
    <col width="34" customWidth="1" min="16" max="16"/>
    <col width="54" customWidth="1" min="17" max="17"/>
    <col width="42" customWidth="1" min="18" max="18"/>
    <col width="48" customWidth="1" min="19" max="19"/>
    <col width="28" customWidth="1" min="21" max="21"/>
    <col width="14" customWidth="1" min="22" max="22"/>
  </cols>
  <sheetData>
    <row r="1">
      <c r="A1" s="1" t="inlineStr">
        <is>
          <t>Worksheet row</t>
        </is>
      </c>
      <c r="B1" s="1" t="inlineStr">
        <is>
          <t>Archer field name</t>
        </is>
      </c>
      <c r="C1" s="1" t="inlineStr">
        <is>
          <t>OSCAL model</t>
        </is>
      </c>
      <c r="D1" s="1" t="inlineStr">
        <is>
          <t>OSCAL element path</t>
        </is>
      </c>
      <c r="E1" s="1" t="inlineStr">
        <is>
          <t>Mapping type</t>
        </is>
      </c>
      <c r="F1" s="1" t="inlineStr">
        <is>
          <t>Original Notes</t>
        </is>
      </c>
      <c r="G1" s="1" t="inlineStr">
        <is>
          <t>Cardinality</t>
        </is>
      </c>
      <c r="H1" s="1" t="inlineStr">
        <is>
          <t>Archer data type</t>
        </is>
      </c>
      <c r="I1" s="1" t="inlineStr">
        <is>
          <t>Transcription status</t>
        </is>
      </c>
      <c r="J1" s="1" t="inlineStr">
        <is>
          <t>Clarification needed</t>
        </is>
      </c>
      <c r="K1" s="1" t="inlineStr">
        <is>
          <t>Evidence</t>
        </is>
      </c>
      <c r="L1" s="1" t="inlineStr">
        <is>
          <t>Transformation logic</t>
        </is>
      </c>
      <c r="M1" s="1" t="inlineStr">
        <is>
          <t>OSCAL data type</t>
        </is>
      </c>
      <c r="N1" s="1" t="inlineStr">
        <is>
          <t>Mapping review status</t>
        </is>
      </c>
      <c r="O1" s="1" t="inlineStr">
        <is>
          <t>Runtime transform id</t>
        </is>
      </c>
      <c r="P1" s="1" t="inlineStr">
        <is>
          <t>Runtime target path</t>
        </is>
      </c>
      <c r="Q1" s="1" t="inlineStr">
        <is>
          <t>Decision / next action</t>
        </is>
      </c>
      <c r="R1" s="1" t="inlineStr">
        <is>
          <t>Source shape evidence</t>
        </is>
      </c>
      <c r="S1" s="1" t="inlineStr">
        <is>
          <t>Review reference</t>
        </is>
      </c>
      <c r="U1" s="2" t="inlineStr">
        <is>
          <t>Source tab review</t>
        </is>
      </c>
      <c r="V1" s="2" t="inlineStr">
        <is>
          <t>Count</t>
        </is>
      </c>
    </row>
    <row r="2">
      <c r="A2" s="3" t="inlineStr">
        <is>
          <t>2</t>
        </is>
      </c>
      <c r="B2" s="3" t="inlineStr">
        <is>
          <t>SOURCE_NAME</t>
        </is>
      </c>
      <c r="C2" s="3" t="inlineStr">
        <is>
          <t>Catalog - Metadata</t>
        </is>
      </c>
      <c r="D2" s="3" t="inlineStr">
        <is>
          <t>catalog.metadata.title</t>
        </is>
      </c>
      <c r="E2" s="3" t="inlineStr">
        <is>
          <t>Direct</t>
        </is>
      </c>
      <c r="F2" s="3" t="inlineStr">
        <is>
          <t>Primary title of the control catalog</t>
        </is>
      </c>
      <c r="G2" s="3" t="inlineStr">
        <is>
          <t>Single</t>
        </is>
      </c>
      <c r="H2" s="3" t="inlineStr">
        <is>
          <t>VARCHAR</t>
        </is>
      </c>
      <c r="I2" s="3" t="inlineStr">
        <is>
          <t>CORE TEXT CAPTURED</t>
        </is>
      </c>
      <c r="J2" s="3" t="inlineStr"/>
      <c r="K2" s="3" t="inlineStr">
        <is>
          <t>S01 + S02</t>
        </is>
      </c>
      <c r="L2" s="3" t="inlineStr">
        <is>
          <t>Trim/validate nonblank text; map directly to metadata title.</t>
        </is>
      </c>
      <c r="M2" s="3" t="inlineStr">
        <is>
          <t>markup-line</t>
        </is>
      </c>
      <c r="N2" s="4" t="inlineStr">
        <is>
          <t>READY</t>
        </is>
      </c>
      <c r="O2" s="3" t="inlineStr">
        <is>
          <t>text</t>
        </is>
      </c>
      <c r="P2" s="3" t="inlineStr">
        <is>
          <t>catalog.metadata.title</t>
        </is>
      </c>
      <c r="Q2" s="3" t="inlineStr">
        <is>
          <t>Map the nonblank Archer source name directly to the Catalog metadata title.</t>
        </is>
      </c>
      <c r="R2" s="3" t="inlineStr">
        <is>
          <t>String; populated in live CURATED_JSON sample.</t>
        </is>
      </c>
      <c r="S2" s="3" t="inlineStr">
        <is>
          <t>https://pages.nist.gov/OSCAL-Reference/models/v1.2.3/catalog/json-reference/</t>
        </is>
      </c>
      <c r="U2" t="inlineStr">
        <is>
          <t>Total mapped fields</t>
        </is>
      </c>
      <c r="V2" t="n">
        <v>56</v>
      </c>
    </row>
    <row r="3">
      <c r="A3" s="3" t="inlineStr">
        <is>
          <t>3</t>
        </is>
      </c>
      <c r="B3" s="3" t="inlineStr">
        <is>
          <t>SOURCE_VERSION</t>
        </is>
      </c>
      <c r="C3" s="3" t="inlineStr">
        <is>
          <t>Catalog - Metadata</t>
        </is>
      </c>
      <c r="D3" s="3" t="inlineStr">
        <is>
          <t>catalog.metadata.version</t>
        </is>
      </c>
      <c r="E3" s="3" t="inlineStr">
        <is>
          <t>Direct</t>
        </is>
      </c>
      <c r="F3" s="3" t="inlineStr">
        <is>
          <t>Version identifier for the catalog</t>
        </is>
      </c>
      <c r="G3" s="3" t="inlineStr">
        <is>
          <t>Single</t>
        </is>
      </c>
      <c r="H3" s="3" t="inlineStr">
        <is>
          <t>VARCHAR</t>
        </is>
      </c>
      <c r="I3" s="3" t="inlineStr">
        <is>
          <t>CORE TEXT CAPTURED</t>
        </is>
      </c>
      <c r="J3" s="3" t="inlineStr"/>
      <c r="K3" s="3" t="inlineStr">
        <is>
          <t>S01 + S02</t>
        </is>
      </c>
      <c r="L3" s="3" t="inlineStr">
        <is>
          <t>Trim/validate nonblank text; map directly to metadata version.</t>
        </is>
      </c>
      <c r="M3" s="3" t="inlineStr">
        <is>
          <t>string</t>
        </is>
      </c>
      <c r="N3" s="4" t="inlineStr">
        <is>
          <t>READY</t>
        </is>
      </c>
      <c r="O3" s="3" t="inlineStr">
        <is>
          <t>text</t>
        </is>
      </c>
      <c r="P3" s="3" t="inlineStr">
        <is>
          <t>catalog.metadata.version</t>
        </is>
      </c>
      <c r="Q3" s="3" t="inlineStr">
        <is>
          <t>Map the source version directly to the Catalog document version.</t>
        </is>
      </c>
      <c r="R3" s="3" t="inlineStr">
        <is>
          <t>String; populated in live CURATED_JSON sample.</t>
        </is>
      </c>
      <c r="S3" s="3" t="inlineStr">
        <is>
          <t>https://pages.nist.gov/OSCAL/learn/tutorials/general/metadata/</t>
        </is>
      </c>
      <c r="U3" t="inlineStr">
        <is>
          <t>Ready / ready with condition</t>
        </is>
      </c>
      <c r="V3">
        <f>COUNTIF($N$2:$N$57,"READY*")</f>
        <v/>
      </c>
    </row>
    <row r="4">
      <c r="A4" s="3" t="inlineStr">
        <is>
          <t>4</t>
        </is>
      </c>
      <c r="B4" s="3" t="inlineStr">
        <is>
          <t>SOURCE_DESCRIPTION</t>
        </is>
      </c>
      <c r="C4" s="3" t="inlineStr">
        <is>
          <t>Catalog - Metadata</t>
        </is>
      </c>
      <c r="D4" s="3" t="inlineStr">
        <is>
          <t>catalog.metadata.remarks</t>
        </is>
      </c>
      <c r="E4" s="3" t="inlineStr">
        <is>
          <t>Direct</t>
        </is>
      </c>
      <c r="F4" s="3" t="inlineStr">
        <is>
          <t>Description of the authoritative source; can also map to catalog.back-[CLIPPED]</t>
        </is>
      </c>
      <c r="G4" s="3" t="inlineStr">
        <is>
          <t>Single</t>
        </is>
      </c>
      <c r="H4" s="3" t="inlineStr">
        <is>
          <t>VARCHAR</t>
        </is>
      </c>
      <c r="I4" s="3" t="inlineStr">
        <is>
          <t>NEEDS SOURCE TEXT</t>
        </is>
      </c>
      <c r="J4" s="3" t="inlineStr">
        <is>
          <t>Supply full source text: Original Notes.</t>
        </is>
      </c>
      <c r="K4" s="3" t="inlineStr">
        <is>
          <t>S01 + S02</t>
        </is>
      </c>
      <c r="L4" s="3" t="inlineStr">
        <is>
          <t>Preserve source text unchanged until SME chooses remarks vs an actual resource description.</t>
        </is>
      </c>
      <c r="M4" s="3" t="inlineStr">
        <is>
          <t>markup-multiline (candidate)</t>
        </is>
      </c>
      <c r="N4" s="5" t="inlineStr">
        <is>
          <t>DEFERRED - SME</t>
        </is>
      </c>
      <c r="O4" s="3" t="inlineStr"/>
      <c r="P4" s="3" t="inlineStr"/>
      <c r="Q4" s="3" t="inlineStr">
        <is>
          <t>Business meaning is clear, but final destination is still open because INFORMATION is a separate narrative field. Do not overwrite or concatenate automatically.</t>
        </is>
      </c>
      <c r="R4" s="3" t="inlineStr">
        <is>
          <t>String narrative in supplied sample.</t>
        </is>
      </c>
      <c r="S4" s="3" t="inlineStr">
        <is>
          <t>https://github.com/theenduser009/Oscal-mapping-strategy/blob/simplify-metadata-boundary/questions/SME_OPEN_QUESTIONS.md</t>
        </is>
      </c>
      <c r="U4" t="inlineStr">
        <is>
          <t>Deferred</t>
        </is>
      </c>
      <c r="V4">
        <f>COUNTIF($N$2:$N$57,"DEFERRED*")</f>
        <v/>
      </c>
    </row>
    <row r="5">
      <c r="A5" s="3" t="inlineStr">
        <is>
          <t>5</t>
        </is>
      </c>
      <c r="B5" s="3" t="inlineStr">
        <is>
          <t>SOURCE_TRACKING_ID</t>
        </is>
      </c>
      <c r="C5" s="3" t="inlineStr">
        <is>
          <t>Catalog - Metadata</t>
        </is>
      </c>
      <c r="D5" s="3" t="inlineStr">
        <is>
          <t>catalog.metadata.prop[@name='tracking-id']</t>
        </is>
      </c>
      <c r="E5" s="3" t="inlineStr">
        <is>
          <t>Transform</t>
        </is>
      </c>
      <c r="F5" s="3" t="inlineStr">
        <is>
          <t>Unique identifier; may need conversion to UUID format or store as prop[CLIPPED]</t>
        </is>
      </c>
      <c r="G5" s="3" t="inlineStr">
        <is>
          <t>Single</t>
        </is>
      </c>
      <c r="H5" s="3" t="inlineStr">
        <is>
          <t>DECIMAL</t>
        </is>
      </c>
      <c r="I5" s="3" t="inlineStr">
        <is>
          <t>NEEDS SOURCE TEXT</t>
        </is>
      </c>
      <c r="J5" s="3" t="inlineStr">
        <is>
          <t>Supply full source text: Original Notes.</t>
        </is>
      </c>
      <c r="K5" s="3" t="inlineStr">
        <is>
          <t>S01 + S02</t>
        </is>
      </c>
      <c r="L5" s="3" t="inlineStr">
        <is>
          <t>No UUID coercion. Candidate: stringify and emit as named property after property-name decision.</t>
        </is>
      </c>
      <c r="M5" s="3" t="inlineStr">
        <is>
          <t>property value: string (candidate)</t>
        </is>
      </c>
      <c r="N5" s="5" t="inlineStr">
        <is>
          <t>DEFERRED - SME/RUNTIME</t>
        </is>
      </c>
      <c r="O5" s="3" t="inlineStr"/>
      <c r="P5" s="3" t="inlineStr"/>
      <c r="Q5" s="3" t="inlineStr">
        <is>
          <t>Prefer preserving the identifier as traceability data rather than converting it to a UUID without evidence. Exact property name also needs generic override support.</t>
        </is>
      </c>
      <c r="R5" s="3" t="inlineStr">
        <is>
          <t>Numeric scalar in supplied sample.</t>
        </is>
      </c>
      <c r="S5" s="3" t="inlineStr">
        <is>
          <t>https://github.com/theenduser009/Oscal-mapping-strategy/blob/simplify-metadata-boundary/questions/SME_OPEN_QUESTIONS.md</t>
        </is>
      </c>
      <c r="U5" t="inlineStr">
        <is>
          <t>Remap required</t>
        </is>
      </c>
      <c r="V5">
        <f>COUNTIF($N$2:$N$57,"REMAP REQUIRED")</f>
        <v/>
      </c>
    </row>
    <row r="6">
      <c r="A6" s="3" t="inlineStr">
        <is>
          <t>6</t>
        </is>
      </c>
      <c r="B6" s="3" t="inlineStr">
        <is>
          <t>SOURCE_LINKS</t>
        </is>
      </c>
      <c r="C6" s="3" t="inlineStr">
        <is>
          <t>Catalog - Back Matter</t>
        </is>
      </c>
      <c r="D6" s="3" t="inlineStr">
        <is>
          <t>catalog.back-matter.resource[@uuid].rlink.href</t>
        </is>
      </c>
      <c r="E6" s="3" t="inlineStr">
        <is>
          <t>Direct</t>
        </is>
      </c>
      <c r="F6" s="3" t="inlineStr">
        <is>
          <t>External links to source documentation</t>
        </is>
      </c>
      <c r="G6" s="3" t="inlineStr">
        <is>
          <t>Single</t>
        </is>
      </c>
      <c r="H6" s="3" t="inlineStr">
        <is>
          <t>VARCHAR</t>
        </is>
      </c>
      <c r="I6" s="3" t="inlineStr">
        <is>
          <t>CORE TEXT CAPTURED</t>
        </is>
      </c>
      <c r="J6" s="3" t="inlineStr"/>
      <c r="K6" s="3" t="inlineStr">
        <is>
          <t>S01 + S02</t>
        </is>
      </c>
      <c r="L6" s="3" t="inlineStr">
        <is>
          <t>Inspect populated rows; create a resource/link only from an explicit URL/resource contract.</t>
        </is>
      </c>
      <c r="M6" s="3" t="inlineStr">
        <is>
          <t>uri-reference / resource (pending)</t>
        </is>
      </c>
      <c r="N6" s="5" t="inlineStr">
        <is>
          <t>DEFERRED - SOURCE SHAPE</t>
        </is>
      </c>
      <c r="O6" s="3" t="inlineStr"/>
      <c r="P6" s="3" t="inlineStr"/>
      <c r="Q6" s="3" t="inlineStr">
        <is>
          <t>Confirm populated values are URLs/URI references before creating Back Matter resources or rlinks.</t>
        </is>
      </c>
      <c r="R6" s="3" t="inlineStr">
        <is>
          <t>Null in supplied sample; populated shape not yet observed.</t>
        </is>
      </c>
      <c r="S6" s="3" t="inlineStr">
        <is>
          <t>https://github.com/theenduser009/Oscal-mapping-strategy/blob/simplify-metadata-boundary/docs/checkpoints/2026-09-17-source2-source-curated-json-sample.md</t>
        </is>
      </c>
      <c r="U6" t="inlineStr">
        <is>
          <t>Excluded from OSCAL</t>
        </is>
      </c>
      <c r="V6">
        <f>COUNTIF($N$2:$N$57,"EXCLUDE FROM OSCAL")</f>
        <v/>
      </c>
    </row>
    <row r="7">
      <c r="A7" s="3" t="inlineStr">
        <is>
          <t>7</t>
        </is>
      </c>
      <c r="B7" s="3" t="inlineStr">
        <is>
          <t>INFORMATION</t>
        </is>
      </c>
      <c r="C7" s="3" t="inlineStr">
        <is>
          <t>Catalog - Metadata</t>
        </is>
      </c>
      <c r="D7" s="3" t="inlineStr">
        <is>
          <t>catalog.metadata.remarks</t>
        </is>
      </c>
      <c r="E7" s="3" t="inlineStr">
        <is>
          <t>Direct</t>
        </is>
      </c>
      <c r="F7" s="3" t="inlineStr">
        <is>
          <t>Additional information about the source</t>
        </is>
      </c>
      <c r="G7" s="3" t="inlineStr">
        <is>
          <t>Single</t>
        </is>
      </c>
      <c r="H7" s="3" t="inlineStr">
        <is>
          <t>VARCHAR</t>
        </is>
      </c>
      <c r="I7" s="3" t="inlineStr">
        <is>
          <t>CORE TEXT CAPTURED</t>
        </is>
      </c>
      <c r="J7" s="3" t="inlineStr"/>
      <c r="K7" s="3" t="inlineStr">
        <is>
          <t>S01 + S02</t>
        </is>
      </c>
      <c r="L7" s="3" t="inlineStr">
        <is>
          <t>Preserve independently; do not collide with catalog.metadata.remarks.</t>
        </is>
      </c>
      <c r="M7" s="3" t="inlineStr">
        <is>
          <t>property value or markup (pending)</t>
        </is>
      </c>
      <c r="N7" s="5" t="inlineStr">
        <is>
          <t>DEFERRED - SME</t>
        </is>
      </c>
      <c r="O7" s="3" t="inlineStr"/>
      <c r="P7" s="3" t="inlineStr"/>
      <c r="Q7" s="3" t="inlineStr">
        <is>
          <t>Additional source information must remain separate from SOURCE_DESCRIPTION. Candidate is a named property, but this is not approved yet.</t>
        </is>
      </c>
      <c r="R7" s="3" t="inlineStr">
        <is>
          <t>Null in supplied sample.</t>
        </is>
      </c>
      <c r="S7" s="3" t="inlineStr">
        <is>
          <t>https://github.com/theenduser009/Oscal-mapping-strategy/blob/simplify-metadata-boundary/questions/SME_OPEN_QUESTIONS.md</t>
        </is>
      </c>
      <c r="U7" t="inlineStr">
        <is>
          <t>Not yet reviewed</t>
        </is>
      </c>
      <c r="V7">
        <f>COUNTBLANK($N$2:$N$57)</f>
        <v/>
      </c>
    </row>
    <row r="8">
      <c r="A8" s="3" t="inlineStr">
        <is>
          <t>8</t>
        </is>
      </c>
      <c r="B8" s="3" t="inlineStr">
        <is>
          <t>DISCLAIMER</t>
        </is>
      </c>
      <c r="C8" s="3" t="inlineStr">
        <is>
          <t>Catalog - Metadata</t>
        </is>
      </c>
      <c r="D8" s="3" t="inlineStr">
        <is>
          <t>catalog.metadata.prop[@name='disclaimer']</t>
        </is>
      </c>
      <c r="E8" s="3" t="inlineStr">
        <is>
          <t>Extension Property</t>
        </is>
      </c>
      <c r="F8" s="3" t="inlineStr">
        <is>
          <t>Legal or usage disclaimers</t>
        </is>
      </c>
      <c r="G8" s="3" t="inlineStr">
        <is>
          <t>Single</t>
        </is>
      </c>
      <c r="H8" s="3" t="inlineStr">
        <is>
          <t>VARCHAR</t>
        </is>
      </c>
      <c r="I8" s="3" t="inlineStr">
        <is>
          <t>CORE TEXT CAPTURED</t>
        </is>
      </c>
      <c r="J8" s="3" t="inlineStr"/>
      <c r="K8" s="3" t="inlineStr">
        <is>
          <t>S01 + S02</t>
        </is>
      </c>
      <c r="L8" s="3" t="inlineStr">
        <is>
          <t>Trim text and emit property {name='disclaimer', value=&lt;text&gt;}.</t>
        </is>
      </c>
      <c r="M8" s="3" t="inlineStr">
        <is>
          <t>property value: string</t>
        </is>
      </c>
      <c r="N8" s="4" t="inlineStr">
        <is>
          <t>READY</t>
        </is>
      </c>
      <c r="O8" s="3" t="inlineStr">
        <is>
          <t>text</t>
        </is>
      </c>
      <c r="P8" s="3" t="inlineStr">
        <is>
          <t>catalog.metadata.props[]</t>
        </is>
      </c>
      <c r="Q8" s="3" t="inlineStr">
        <is>
          <t>Emit as a Catalog metadata property named disclaimer. Current generic source-field slug already yields disclaimer.</t>
        </is>
      </c>
      <c r="R8" s="3" t="inlineStr">
        <is>
          <t>String; populated in supplied sample.</t>
        </is>
      </c>
      <c r="S8" s="3" t="inlineStr">
        <is>
          <t>https://pages.nist.gov/OSCAL-Reference/models/v1.2.3/catalog/json-reference/</t>
        </is>
      </c>
    </row>
    <row r="9">
      <c r="A9" s="3" t="inlineStr">
        <is>
          <t>9</t>
        </is>
      </c>
      <c r="B9" s="3" t="inlineStr">
        <is>
          <t>TOPIC_REFERENCES</t>
        </is>
      </c>
      <c r="C9" s="3" t="inlineStr">
        <is>
          <t>Catalog - Back Matter</t>
        </is>
      </c>
      <c r="D9" s="3" t="inlineStr">
        <is>
          <t>catalog.back-matter.resource[@uuid].citation</t>
        </is>
      </c>
      <c r="E9" s="3" t="inlineStr">
        <is>
          <t>Extension Property</t>
        </is>
      </c>
      <c r="F9" s="3" t="inlineStr">
        <is>
          <t>References to related topics or documentation</t>
        </is>
      </c>
      <c r="G9" s="3" t="inlineStr">
        <is>
          <t>Single</t>
        </is>
      </c>
      <c r="H9" s="3" t="inlineStr">
        <is>
          <t>VARCHAR</t>
        </is>
      </c>
      <c r="I9" s="3" t="inlineStr">
        <is>
          <t>CORE TEXT CAPTURED</t>
        </is>
      </c>
      <c r="J9" s="3" t="inlineStr"/>
      <c r="K9" s="3" t="inlineStr">
        <is>
          <t>S01 + S02</t>
        </is>
      </c>
      <c r="L9" s="3" t="inlineStr">
        <is>
          <t>Resolve referenced Topic identities and ownership before runtime mapping.</t>
        </is>
      </c>
      <c r="M9" s="3" t="inlineStr">
        <is>
          <t>reference relationship (pending)</t>
        </is>
      </c>
      <c r="N9" s="6" t="inlineStr">
        <is>
          <t>REMAP REQUIRED</t>
        </is>
      </c>
      <c r="O9" s="3" t="inlineStr"/>
      <c r="P9" s="3" t="inlineStr"/>
      <c r="Q9" s="3" t="inlineStr">
        <is>
          <t>The live source is an Archer cross-reference array, not citation text. Treat this as Source→Topic relationship evidence; do not emit it as Back Matter citation.</t>
        </is>
      </c>
      <c r="R9" s="3" t="inlineStr">
        <is>
          <t>Array of objects containing ContentId and LevelId.</t>
        </is>
      </c>
      <c r="S9" s="3" t="inlineStr">
        <is>
          <t>https://github.com/theenduser009/Oscal-mapping-strategy/blob/simplify-metadata-boundary/docs/checkpoints/2026-09-17-source2-source-curated-json-sample.md</t>
        </is>
      </c>
    </row>
    <row r="10">
      <c r="A10" s="3" t="inlineStr">
        <is>
          <t>10</t>
        </is>
      </c>
      <c r="B10" s="3" t="inlineStr">
        <is>
          <t>ATTACHMENTS</t>
        </is>
      </c>
      <c r="C10" s="3" t="inlineStr">
        <is>
          <t>Catalog - Back Matter</t>
        </is>
      </c>
      <c r="D10" s="3" t="inlineStr">
        <is>
          <t>catalog.back-matter.resource[@uuid].base64</t>
        </is>
      </c>
      <c r="E10" s="3" t="inlineStr">
        <is>
          <t>Direct</t>
        </is>
      </c>
      <c r="F10" s="3" t="inlineStr">
        <is>
          <t>Binary attachments as base64</t>
        </is>
      </c>
      <c r="G10" s="3" t="inlineStr">
        <is>
          <t>Single</t>
        </is>
      </c>
      <c r="H10" s="3" t="inlineStr">
        <is>
          <t>VARCHAR</t>
        </is>
      </c>
      <c r="I10" s="3" t="inlineStr">
        <is>
          <t>CORE TEXT CAPTURED</t>
        </is>
      </c>
      <c r="J10" s="3" t="inlineStr"/>
      <c r="K10" s="3" t="inlineStr">
        <is>
          <t>S01 + S02</t>
        </is>
      </c>
      <c r="L10" s="3" t="inlineStr">
        <is>
          <t>Do not treat arbitrary attachment metadata as OSCAL base64.</t>
        </is>
      </c>
      <c r="M10" s="3" t="inlineStr">
        <is>
          <t>resource/base64 object (pending)</t>
        </is>
      </c>
      <c r="N10" s="5" t="inlineStr">
        <is>
          <t>DEFERRED - SOURCE SHAPE</t>
        </is>
      </c>
      <c r="O10" s="3" t="inlineStr"/>
      <c r="P10" s="3" t="inlineStr"/>
      <c r="Q10" s="3" t="inlineStr">
        <is>
          <t>Confirm whether populated values are binary/base64 content, attachment metadata, IDs, or URLs before creating Back Matter resources.</t>
        </is>
      </c>
      <c r="R10" s="3" t="inlineStr">
        <is>
          <t>Null in supplied sample.</t>
        </is>
      </c>
      <c r="S10" s="3" t="inlineStr">
        <is>
          <t>https://github.com/theenduser009/Oscal-mapping-strategy/blob/simplify-metadata-boundary/questions/SME_OPEN_QUESTIONS.md</t>
        </is>
      </c>
    </row>
    <row r="11">
      <c r="A11" s="3" t="inlineStr">
        <is>
          <t>11</t>
        </is>
      </c>
      <c r="B11" s="3" t="inlineStr">
        <is>
          <t>CONTROL_STANDARDS</t>
        </is>
      </c>
      <c r="C11" s="3" t="inlineStr">
        <is>
          <t>Catalog</t>
        </is>
      </c>
      <c r="D11" s="3" t="inlineStr">
        <is>
          <t>catalog.group[@id].control[@id]</t>
        </is>
      </c>
      <c r="E11" s="3" t="inlineStr">
        <is>
          <t>Reference</t>
        </is>
      </c>
      <c r="F11" s="3" t="inlineStr">
        <is>
          <t>Individual control standards from this source</t>
        </is>
      </c>
      <c r="G11" s="3" t="inlineStr">
        <is>
          <t>Multi (likely reference)</t>
        </is>
      </c>
      <c r="H11" s="3" t="inlineStr">
        <is>
          <t>VARCHAR</t>
        </is>
      </c>
      <c r="I11" s="3" t="inlineStr">
        <is>
          <t>CORE TEXT CAPTURED</t>
        </is>
      </c>
      <c r="J11" s="3" t="inlineStr"/>
      <c r="K11" s="3" t="inlineStr">
        <is>
          <t>S01 + S02</t>
        </is>
      </c>
      <c r="L11" s="3" t="inlineStr">
        <is>
          <t>Resolve reference identity and owning group before emitting controls.</t>
        </is>
      </c>
      <c r="M11" s="3" t="inlineStr">
        <is>
          <t>control/reference (pending)</t>
        </is>
      </c>
      <c r="N11" s="5" t="inlineStr">
        <is>
          <t>DEFERRED - HIERARCHY</t>
        </is>
      </c>
      <c r="O11" s="3" t="inlineStr"/>
      <c r="P11" s="3" t="inlineStr"/>
      <c r="Q11" s="3" t="inlineStr">
        <is>
          <t>Need a populated reference sample and the Source/Topic/Section/Sub-Section ownership design before placing controls in Catalog groups.</t>
        </is>
      </c>
      <c r="R11" s="3" t="inlineStr">
        <is>
          <t>Null in supplied sample.</t>
        </is>
      </c>
      <c r="S11" s="3" t="inlineStr">
        <is>
          <t>https://github.com/theenduser009/Oscal-mapping-strategy/blob/simplify-metadata-boundary/questions/SME_OPEN_QUESTIONS.md</t>
        </is>
      </c>
    </row>
    <row r="12">
      <c r="A12" s="3" t="inlineStr">
        <is>
          <t>12</t>
        </is>
      </c>
      <c r="B12" s="3" t="inlineStr">
        <is>
          <t>CONTROL_STANDARDS_FROM_TOPIC_SECTION_AND_SUBSECTION_LEVELS</t>
        </is>
      </c>
      <c r="C12" s="3" t="inlineStr">
        <is>
          <t>Catalog</t>
        </is>
      </c>
      <c r="D12" s="3" t="inlineStr">
        <is>
          <t>catalog.group[@id].group[@id].control[@id]</t>
        </is>
      </c>
      <c r="E12" s="3" t="inlineStr">
        <is>
          <t>Reference</t>
        </is>
      </c>
      <c r="F12" s="3" t="inlineStr">
        <is>
          <t>Nested control structures with hierarchical grouping</t>
        </is>
      </c>
      <c r="G12" s="3" t="inlineStr">
        <is>
          <t>Multi (likely reference)</t>
        </is>
      </c>
      <c r="H12" s="3" t="inlineStr">
        <is>
          <t>VARCHAR</t>
        </is>
      </c>
      <c r="I12" s="3" t="inlineStr">
        <is>
          <t>CORE TEXT CAPTURED</t>
        </is>
      </c>
      <c r="J12" s="3" t="inlineStr"/>
      <c r="K12" s="3" t="inlineStr">
        <is>
          <t>S01 + S02</t>
        </is>
      </c>
      <c r="L12" s="3" t="inlineStr">
        <is>
          <t>Do not duplicate descendant controls until hierarchy ownership is defined.</t>
        </is>
      </c>
      <c r="M12" s="3" t="inlineStr">
        <is>
          <t>control/reference (pending)</t>
        </is>
      </c>
      <c r="N12" s="5" t="inlineStr">
        <is>
          <t>DEFERRED - HIERARCHY</t>
        </is>
      </c>
      <c r="O12" s="3" t="inlineStr"/>
      <c r="P12" s="3" t="inlineStr"/>
      <c r="Q12" s="3" t="inlineStr">
        <is>
          <t>Descendant roll-up semantics depend on the four-table Catalog assembly design.</t>
        </is>
      </c>
      <c r="R12" s="3" t="inlineStr">
        <is>
          <t>Null in supplied sample.</t>
        </is>
      </c>
      <c r="S12" s="3" t="inlineStr">
        <is>
          <t>https://github.com/theenduser009/Oscal-mapping-strategy/blob/simplify-metadata-boundary/questions/SME_OPEN_QUESTIONS.md</t>
        </is>
      </c>
    </row>
    <row r="13">
      <c r="A13" s="3" t="inlineStr">
        <is>
          <t>13</t>
        </is>
      </c>
      <c r="B13" s="3" t="inlineStr">
        <is>
          <t>CONTROL_STANDARDS__FROM_TOPIC_SECTION_AND_SUBSECTION_LEVELS</t>
        </is>
      </c>
      <c r="C13" s="3" t="inlineStr">
        <is>
          <t>Catalog</t>
        </is>
      </c>
      <c r="D13" s="3" t="inlineStr">
        <is>
          <t>catalog.group[@id].group[@id].control[@id]</t>
        </is>
      </c>
      <c r="E13" s="3" t="inlineStr">
        <is>
          <t>Reference</t>
        </is>
      </c>
      <c r="F13" s="3" t="inlineStr">
        <is>
          <t>Duplicate field - appears to be same as CONTROL_STANDARDS_FROM_[CLIPPED]</t>
        </is>
      </c>
      <c r="G13" s="3" t="inlineStr">
        <is>
          <t>Multi (likely reference)</t>
        </is>
      </c>
      <c r="H13" s="3" t="inlineStr">
        <is>
          <t>VARCHAR</t>
        </is>
      </c>
      <c r="I13" s="3" t="inlineStr">
        <is>
          <t>NEEDS SOURCE TEXT</t>
        </is>
      </c>
      <c r="J13" s="3" t="inlineStr">
        <is>
          <t>Supply full source text: Original Notes.</t>
        </is>
      </c>
      <c r="K13" s="3" t="inlineStr">
        <is>
          <t>S01 + S02</t>
        </is>
      </c>
      <c r="L13" s="3" t="inlineStr">
        <is>
          <t>No automatic deduplication or normalization.</t>
        </is>
      </c>
      <c r="M13" s="3" t="inlineStr">
        <is>
          <t>pending</t>
        </is>
      </c>
      <c r="N13" s="5" t="inlineStr">
        <is>
          <t>DEFERRED - ALIAS</t>
        </is>
      </c>
      <c r="O13" s="3" t="inlineStr"/>
      <c r="P13" s="3" t="inlineStr"/>
      <c r="Q13" s="3" t="inlineStr">
        <is>
          <t>Extra-underscore field must remain distinct until the source owner confirms whether it is an alias/duplicate.</t>
        </is>
      </c>
      <c r="R13" s="3" t="inlineStr">
        <is>
          <t>Null in supplied sample.</t>
        </is>
      </c>
      <c r="S13" s="3" t="inlineStr">
        <is>
          <t>https://github.com/theenduser009/Oscal-mapping-strategy/blob/simplify-metadata-boundary/questions/SME_OPEN_QUESTIONS.md</t>
        </is>
      </c>
    </row>
    <row r="14">
      <c r="A14" s="3" t="inlineStr">
        <is>
          <t>14</t>
        </is>
      </c>
      <c r="B14" s="3" t="inlineStr">
        <is>
          <t>MASTER_CONTROLS_AUTHORITATIVE_SOURCES</t>
        </is>
      </c>
      <c r="C14" s="3" t="inlineStr">
        <is>
          <t>Catalog</t>
        </is>
      </c>
      <c r="D14" s="3" t="inlineStr">
        <is>
          <t>catalog.control[@id].link[@rel='related']</t>
        </is>
      </c>
      <c r="E14" s="3" t="inlineStr">
        <is>
          <t>Reference</t>
        </is>
      </c>
      <c r="F14" s="3" t="inlineStr">
        <is>
          <t>Relationship to master control definitions</t>
        </is>
      </c>
      <c r="G14" s="3" t="inlineStr">
        <is>
          <t>Multi (likely reference)</t>
        </is>
      </c>
      <c r="H14" s="3" t="inlineStr">
        <is>
          <t>VARCHAR</t>
        </is>
      </c>
      <c r="I14" s="3" t="inlineStr">
        <is>
          <t>CORE TEXT CAPTURED</t>
        </is>
      </c>
      <c r="J14" s="3" t="inlineStr"/>
      <c r="K14" s="3" t="inlineStr">
        <is>
          <t>S01 + S02</t>
        </is>
      </c>
      <c r="L14" s="3" t="inlineStr">
        <is>
          <t>Resolve referenced identity first.</t>
        </is>
      </c>
      <c r="M14" s="3" t="inlineStr">
        <is>
          <t>link/reference (pending)</t>
        </is>
      </c>
      <c r="N14" s="5" t="inlineStr">
        <is>
          <t>DEFERRED - SOURCE SHAPE</t>
        </is>
      </c>
      <c r="O14" s="3" t="inlineStr"/>
      <c r="P14" s="3" t="inlineStr"/>
      <c r="Q14" s="3" t="inlineStr">
        <is>
          <t>Need a populated cross-reference sample and target identity semantics before creating related links.</t>
        </is>
      </c>
      <c r="R14" s="3" t="inlineStr">
        <is>
          <t>Null in supplied sample.</t>
        </is>
      </c>
      <c r="S14" s="3" t="inlineStr">
        <is>
          <t>https://github.com/theenduser009/Oscal-mapping-strategy/blob/simplify-metadata-boundary/questions/SME_OPEN_QUESTIONS.md</t>
        </is>
      </c>
    </row>
    <row r="15">
      <c r="A15" s="3" t="inlineStr">
        <is>
          <t>15</t>
        </is>
      </c>
      <c r="B15" s="3" t="inlineStr">
        <is>
          <t>CONTROL_PROCEDURES</t>
        </is>
      </c>
      <c r="C15" s="3" t="inlineStr">
        <is>
          <t>Catalog or Component Definition</t>
        </is>
      </c>
      <c r="D15" s="3" t="inlineStr">
        <is>
          <t>catalog.control[@id].part[@name='statement'], component-definition.component.control-implementation.implemented-requirement.statement</t>
        </is>
      </c>
      <c r="E15" s="3" t="inlineStr">
        <is>
          <t>Direct</t>
        </is>
      </c>
      <c r="F15" s="3" t="inlineStr">
        <is>
          <t>Procedures for implementing controls</t>
        </is>
      </c>
      <c r="G15" s="3" t="inlineStr">
        <is>
          <t>Single</t>
        </is>
      </c>
      <c r="H15" s="3" t="inlineStr">
        <is>
          <t>VARCHAR</t>
        </is>
      </c>
      <c r="I15" s="3" t="inlineStr">
        <is>
          <t>CORE TEXT CAPTURED</t>
        </is>
      </c>
      <c r="J15" s="3" t="inlineStr"/>
      <c r="K15" s="3" t="inlineStr">
        <is>
          <t>S01 + S02</t>
        </is>
      </c>
      <c r="L15" s="3" t="inlineStr">
        <is>
          <t>Do not choose one model silently.</t>
        </is>
      </c>
      <c r="M15" s="3" t="inlineStr">
        <is>
          <t>markup/reference (pending)</t>
        </is>
      </c>
      <c r="N15" s="5" t="inlineStr">
        <is>
          <t>DEFERRED - SME</t>
        </is>
      </c>
      <c r="O15" s="3" t="inlineStr"/>
      <c r="P15" s="3" t="inlineStr"/>
      <c r="Q15" s="3" t="inlineStr">
        <is>
          <t>Worksheet names both Catalog and Component Definition. Final model ownership must be decided before execution.</t>
        </is>
      </c>
      <c r="R15" s="3" t="inlineStr">
        <is>
          <t>Null in supplied sample.</t>
        </is>
      </c>
      <c r="S15" s="3" t="inlineStr">
        <is>
          <t>https://github.com/theenduser009/Oscal-mapping-strategy/blob/simplify-metadata-boundary/questions/SME_OPEN_QUESTIONS.md</t>
        </is>
      </c>
    </row>
    <row r="16">
      <c r="A16" s="3" t="inlineStr">
        <is>
          <t>16</t>
        </is>
      </c>
      <c r="B16" s="3" t="inlineStr">
        <is>
          <t>RELATED_CONTROL_PROCEDURES</t>
        </is>
      </c>
      <c r="C16" s="3" t="inlineStr">
        <is>
          <t>Catalog</t>
        </is>
      </c>
      <c r="D16" s="3" t="inlineStr">
        <is>
          <t>catalog.control[@id].link[@rel='related']</t>
        </is>
      </c>
      <c r="E16" s="3" t="inlineStr">
        <is>
          <t>Reference</t>
        </is>
      </c>
      <c r="F16" s="3" t="inlineStr">
        <is>
          <t>Cross-references to related procedures</t>
        </is>
      </c>
      <c r="G16" s="3" t="inlineStr">
        <is>
          <t>Multi (likely reference)</t>
        </is>
      </c>
      <c r="H16" s="3" t="inlineStr">
        <is>
          <t>VARCHAR</t>
        </is>
      </c>
      <c r="I16" s="3" t="inlineStr">
        <is>
          <t>CORE TEXT CAPTURED</t>
        </is>
      </c>
      <c r="J16" s="3" t="inlineStr"/>
      <c r="K16" s="3" t="inlineStr">
        <is>
          <t>S01 + S02</t>
        </is>
      </c>
      <c r="L16" s="3" t="inlineStr">
        <is>
          <t>Resolve reference identity first.</t>
        </is>
      </c>
      <c r="M16" s="3" t="inlineStr">
        <is>
          <t>link/reference (pending)</t>
        </is>
      </c>
      <c r="N16" s="5" t="inlineStr">
        <is>
          <t>DEFERRED - SOURCE SHAPE</t>
        </is>
      </c>
      <c r="O16" s="3" t="inlineStr"/>
      <c r="P16" s="3" t="inlineStr"/>
      <c r="Q16" s="3" t="inlineStr">
        <is>
          <t>Confirm populated cross-reference shape and target identities before creating related links.</t>
        </is>
      </c>
      <c r="R16" s="3" t="inlineStr">
        <is>
          <t>Null in supplied sample.</t>
        </is>
      </c>
      <c r="S16" s="3" t="inlineStr">
        <is>
          <t>https://github.com/theenduser009/Oscal-mapping-strategy/blob/simplify-metadata-boundary/questions/SME_OPEN_QUESTIONS.md</t>
        </is>
      </c>
    </row>
    <row r="17">
      <c r="A17" s="3" t="inlineStr">
        <is>
          <t>17</t>
        </is>
      </c>
      <c r="B17" s="3" t="inlineStr">
        <is>
          <t>NUMBER_OF_CONTROL_STANDARDS_SOURCE_LEVEL</t>
        </is>
      </c>
      <c r="C17" s="3" t="inlineStr">
        <is>
          <t>Catalog - Metadata</t>
        </is>
      </c>
      <c r="D17" s="3" t="inlineStr">
        <is>
          <t>catalog.metadata.prop[@name='control-count']</t>
        </is>
      </c>
      <c r="E17" s="3" t="inlineStr">
        <is>
          <t>Extension Property</t>
        </is>
      </c>
      <c r="F17" s="3" t="inlineStr">
        <is>
          <t>Count of controls at source level</t>
        </is>
      </c>
      <c r="G17" s="3" t="inlineStr">
        <is>
          <t>Single</t>
        </is>
      </c>
      <c r="H17" s="3" t="inlineStr">
        <is>
          <t>DECIMAL</t>
        </is>
      </c>
      <c r="I17" s="3" t="inlineStr">
        <is>
          <t>CORE TEXT CAPTURED</t>
        </is>
      </c>
      <c r="J17" s="3" t="inlineStr"/>
      <c r="K17" s="3" t="inlineStr">
        <is>
          <t>S01 + S02</t>
        </is>
      </c>
      <c r="L17" s="3" t="inlineStr">
        <is>
          <t>Convert finite scalar to OSCAL property string value; property name='control-count'.</t>
        </is>
      </c>
      <c r="M17" s="3" t="inlineStr">
        <is>
          <t>property value: string</t>
        </is>
      </c>
      <c r="N17" s="4" t="inlineStr">
        <is>
          <t>READY - RUNTIME ENHANCEMENT</t>
        </is>
      </c>
      <c r="O17" s="3" t="inlineStr">
        <is>
          <t>direct</t>
        </is>
      </c>
      <c r="P17" s="3" t="inlineStr">
        <is>
          <t>catalog.metadata.props[]</t>
        </is>
      </c>
      <c r="Q17" s="3" t="inlineStr">
        <is>
          <t>Map scalar count as property name control-count. Requires generic explicit property-name override because source-field slug is different.</t>
        </is>
      </c>
      <c r="R17" s="3" t="inlineStr">
        <is>
          <t>Numeric scalar; value 0 in supplied sample.</t>
        </is>
      </c>
      <c r="S17" s="3" t="inlineStr">
        <is>
          <t>https://github.com/theenduser009/Oscal-mapping-strategy/blob/simplify-metadata-boundary/questions/SME_OPEN_QUESTIONS.md</t>
        </is>
      </c>
    </row>
    <row r="18">
      <c r="A18" s="3" t="inlineStr">
        <is>
          <t>18</t>
        </is>
      </c>
      <c r="B18" s="3" t="inlineStr">
        <is>
          <t>COMPLIANCE_RATING</t>
        </is>
      </c>
      <c r="C18" s="3" t="inlineStr">
        <is>
          <t>Assessment Results</t>
        </is>
      </c>
      <c r="D18" s="3" t="inlineStr">
        <is>
          <t>assessment-results.result.reviewed-controls.control-selection.reviewed-control[@control-id].prop[@name='compliance-rating']</t>
        </is>
      </c>
      <c r="E18" s="3" t="inlineStr">
        <is>
          <t>Extension Property</t>
        </is>
      </c>
      <c r="F18" s="3" t="inlineStr">
        <is>
          <t>Overall compliance rating for the source</t>
        </is>
      </c>
      <c r="G18" s="3" t="inlineStr">
        <is>
          <t>Single</t>
        </is>
      </c>
      <c r="H18" s="3" t="inlineStr">
        <is>
          <t>VARCHAR</t>
        </is>
      </c>
      <c r="I18" s="3" t="inlineStr">
        <is>
          <t>CORE TEXT CAPTURED</t>
        </is>
      </c>
      <c r="J18" s="3" t="inlineStr"/>
      <c r="K18" s="3" t="inlineStr">
        <is>
          <t>S01 + S02</t>
        </is>
      </c>
      <c r="L18" s="3" t="inlineStr">
        <is>
          <t>Resolve label via Archer lookup only after Assessment Results ownership/grain is confirmed.</t>
        </is>
      </c>
      <c r="M18" s="3" t="inlineStr">
        <is>
          <t>pending</t>
        </is>
      </c>
      <c r="N18" s="5" t="inlineStr">
        <is>
          <t>DEFERRED - MODEL DESIGN</t>
        </is>
      </c>
      <c r="O18" s="3" t="inlineStr"/>
      <c r="P18" s="3" t="inlineStr"/>
      <c r="Q18" s="3" t="inlineStr">
        <is>
          <t>Source shape is a value-list, but the proposed Assessment Results reviewed-control location requires control-selection context not established here.</t>
        </is>
      </c>
      <c r="R18" s="3" t="inlineStr">
        <is>
          <t>Archer value-list object with ValuesListIds.</t>
        </is>
      </c>
      <c r="S18" s="3" t="inlineStr">
        <is>
          <t>https://github.com/theenduser009/Oscal-mapping-strategy/blob/simplify-metadata-boundary/docs/checkpoints/2026-09-17-source2-source-curated-json-sample.md</t>
        </is>
      </c>
    </row>
    <row r="19">
      <c r="A19" s="3" t="inlineStr">
        <is>
          <t>19</t>
        </is>
      </c>
      <c r="B19" s="3" t="inlineStr">
        <is>
          <t>COUNT_OF_CONTROLS</t>
        </is>
      </c>
      <c r="C19" s="3" t="inlineStr">
        <is>
          <t>Catalog - Metadata</t>
        </is>
      </c>
      <c r="D19" s="3" t="inlineStr">
        <is>
          <t>catalog.metadata.prop[@name='total-controls']</t>
        </is>
      </c>
      <c r="E19" s="3" t="inlineStr">
        <is>
          <t>Extension Property</t>
        </is>
      </c>
      <c r="F19" s="3" t="inlineStr">
        <is>
          <t>Total number of controls in the catalog</t>
        </is>
      </c>
      <c r="G19" s="3" t="inlineStr">
        <is>
          <t>Single</t>
        </is>
      </c>
      <c r="H19" s="3" t="inlineStr">
        <is>
          <t>DECIMAL</t>
        </is>
      </c>
      <c r="I19" s="3" t="inlineStr">
        <is>
          <t>CORE TEXT CAPTURED</t>
        </is>
      </c>
      <c r="J19" s="3" t="inlineStr"/>
      <c r="K19" s="3" t="inlineStr">
        <is>
          <t>S01 + S02</t>
        </is>
      </c>
      <c r="L19" s="3" t="inlineStr">
        <is>
          <t>Convert finite scalar to OSCAL property string value; property name='total-controls'.</t>
        </is>
      </c>
      <c r="M19" s="3" t="inlineStr">
        <is>
          <t>property value: string</t>
        </is>
      </c>
      <c r="N19" s="4" t="inlineStr">
        <is>
          <t>READY - RUNTIME ENHANCEMENT</t>
        </is>
      </c>
      <c r="O19" s="3" t="inlineStr">
        <is>
          <t>direct</t>
        </is>
      </c>
      <c r="P19" s="3" t="inlineStr">
        <is>
          <t>catalog.metadata.props[]</t>
        </is>
      </c>
      <c r="Q19" s="3" t="inlineStr">
        <is>
          <t>Map scalar total as property name total-controls. Requires generic explicit property-name override.</t>
        </is>
      </c>
      <c r="R19" s="3" t="inlineStr">
        <is>
          <t>Numeric scalar; value 0 in supplied sample.</t>
        </is>
      </c>
      <c r="S19" s="3" t="inlineStr">
        <is>
          <t>https://github.com/theenduser009/Oscal-mapping-strategy/blob/simplify-metadata-boundary/questions/SME_OPEN_QUESTIONS.md</t>
        </is>
      </c>
    </row>
    <row r="20">
      <c r="A20" s="3" t="inlineStr">
        <is>
          <t>20</t>
        </is>
      </c>
      <c r="B20" s="3" t="inlineStr">
        <is>
          <t>COUNT_OF_NONCOMPLIANT_CONTROLS</t>
        </is>
      </c>
      <c r="C20" s="3" t="inlineStr">
        <is>
          <t>Assessment Results</t>
        </is>
      </c>
      <c r="D20" s="3" t="inlineStr">
        <is>
          <t>assessment-results.result.prop[@name='noncompliant-count']</t>
        </is>
      </c>
      <c r="E20" s="3" t="inlineStr">
        <is>
          <t>Extension Property</t>
        </is>
      </c>
      <c r="F20" s="3" t="inlineStr">
        <is>
          <t>Number of non-compliant controls</t>
        </is>
      </c>
      <c r="G20" s="3" t="inlineStr">
        <is>
          <t>Single</t>
        </is>
      </c>
      <c r="H20" s="3" t="inlineStr">
        <is>
          <t>DECIMAL</t>
        </is>
      </c>
      <c r="I20" s="3" t="inlineStr">
        <is>
          <t>CORE TEXT CAPTURED</t>
        </is>
      </c>
      <c r="J20" s="3" t="inlineStr"/>
      <c r="K20" s="3" t="inlineStr">
        <is>
          <t>S01 + S02</t>
        </is>
      </c>
      <c r="L20" s="3" t="inlineStr">
        <is>
          <t>Preserve source value; defer runtime location.</t>
        </is>
      </c>
      <c r="M20" s="3" t="inlineStr">
        <is>
          <t>pending</t>
        </is>
      </c>
      <c r="N20" s="5" t="inlineStr">
        <is>
          <t>DEFERRED - MODEL DESIGN</t>
        </is>
      </c>
      <c r="O20" s="3" t="inlineStr"/>
      <c r="P20" s="3" t="inlineStr"/>
      <c r="Q20" s="3" t="inlineStr">
        <is>
          <t>Aggregate noncompliance metric belongs to Assessment Results only after the result/document grain is defined.</t>
        </is>
      </c>
      <c r="R20" s="3" t="inlineStr">
        <is>
          <t>Numeric scalar; value 0 in supplied sample.</t>
        </is>
      </c>
      <c r="S20" s="3" t="inlineStr">
        <is>
          <t>https://github.com/theenduser009/Oscal-mapping-strategy/blob/simplify-metadata-boundary/questions/SME_OPEN_QUESTIONS.md</t>
        </is>
      </c>
    </row>
    <row r="21">
      <c r="A21" s="3" t="inlineStr">
        <is>
          <t>21</t>
        </is>
      </c>
      <c r="B21" s="3" t="inlineStr">
        <is>
          <t>PCT_OF_NONCOMPLIANT_CONTROLS</t>
        </is>
      </c>
      <c r="C21" s="3" t="inlineStr">
        <is>
          <t>Assessment Results</t>
        </is>
      </c>
      <c r="D21" s="3" t="inlineStr">
        <is>
          <t>assessment-results.result.prop[@name='noncompliant-percentage']</t>
        </is>
      </c>
      <c r="E21" s="3" t="inlineStr">
        <is>
          <t>Extension Property</t>
        </is>
      </c>
      <c r="F21" s="3" t="inlineStr">
        <is>
          <t>Percentage of non-compliant controls</t>
        </is>
      </c>
      <c r="G21" s="3" t="inlineStr">
        <is>
          <t>Single</t>
        </is>
      </c>
      <c r="H21" s="3" t="inlineStr">
        <is>
          <t>DECIMAL</t>
        </is>
      </c>
      <c r="I21" s="3" t="inlineStr">
        <is>
          <t>CORE TEXT CAPTURED</t>
        </is>
      </c>
      <c r="J21" s="3" t="inlineStr"/>
      <c r="K21" s="3" t="inlineStr">
        <is>
          <t>S01 + S02</t>
        </is>
      </c>
      <c r="L21" s="3" t="inlineStr">
        <is>
          <t>Preserve source value; defer runtime location.</t>
        </is>
      </c>
      <c r="M21" s="3" t="inlineStr">
        <is>
          <t>pending</t>
        </is>
      </c>
      <c r="N21" s="5" t="inlineStr">
        <is>
          <t>DEFERRED - MODEL DESIGN</t>
        </is>
      </c>
      <c r="O21" s="3" t="inlineStr"/>
      <c r="P21" s="3" t="inlineStr"/>
      <c r="Q21" s="3" t="inlineStr">
        <is>
          <t>Aggregate percentage belongs to Assessment Results only after the result/document grain is defined.</t>
        </is>
      </c>
      <c r="R21" s="3" t="inlineStr">
        <is>
          <t>Populated shape not established in supplied sample.</t>
        </is>
      </c>
      <c r="S21" s="3" t="inlineStr">
        <is>
          <t>https://github.com/theenduser009/Oscal-mapping-strategy/blob/simplify-metadata-boundary/questions/SME_OPEN_QUESTIONS.md</t>
        </is>
      </c>
    </row>
    <row r="22">
      <c r="A22" s="3" t="inlineStr">
        <is>
          <t>22</t>
        </is>
      </c>
      <c r="B22" s="3" t="inlineStr">
        <is>
          <t>_OF_NONCOMPLIANT_CONTROLS</t>
        </is>
      </c>
      <c r="C22" s="3" t="inlineStr">
        <is>
          <t>Assessment Results</t>
        </is>
      </c>
      <c r="D22" s="3" t="inlineStr">
        <is>
          <t>assessment-results.result.prop[@name='noncompliant-count']</t>
        </is>
      </c>
      <c r="E22" s="3" t="inlineStr">
        <is>
          <t>Extension Property</t>
        </is>
      </c>
      <c r="F22" s="3" t="inlineStr">
        <is>
          <t>Appears to be duplicate/truncated field name</t>
        </is>
      </c>
      <c r="G22" s="3" t="inlineStr">
        <is>
          <t>Single</t>
        </is>
      </c>
      <c r="H22" s="3" t="inlineStr">
        <is>
          <t>DECIMAL</t>
        </is>
      </c>
      <c r="I22" s="3" t="inlineStr">
        <is>
          <t>CORE TEXT CAPTURED</t>
        </is>
      </c>
      <c r="J22" s="3" t="inlineStr"/>
      <c r="K22" s="3" t="inlineStr">
        <is>
          <t>S01 + S02</t>
        </is>
      </c>
      <c r="L22" s="3" t="inlineStr">
        <is>
          <t>Keep exact key until source owner confirms meaning.</t>
        </is>
      </c>
      <c r="M22" s="3" t="inlineStr">
        <is>
          <t>pending</t>
        </is>
      </c>
      <c r="N22" s="5" t="inlineStr">
        <is>
          <t>DEFERRED - ALIAS</t>
        </is>
      </c>
      <c r="O22" s="3" t="inlineStr"/>
      <c r="P22" s="3" t="inlineStr"/>
      <c r="Q22" s="3" t="inlineStr">
        <is>
          <t>Truncated/duplicate-looking source key; do not infer whether it means count or percentage.</t>
        </is>
      </c>
      <c r="R22" s="3" t="inlineStr">
        <is>
          <t>Null in supplied sample.</t>
        </is>
      </c>
      <c r="S22" s="3" t="inlineStr">
        <is>
          <t>https://github.com/theenduser009/Oscal-mapping-strategy/blob/simplify-metadata-boundary/questions/SME_OPEN_QUESTIONS.md</t>
        </is>
      </c>
    </row>
    <row r="23">
      <c r="A23" s="3" t="inlineStr">
        <is>
          <t>23</t>
        </is>
      </c>
      <c r="B23" s="3" t="inlineStr">
        <is>
          <t>RELATED_TO_KEY_CONTROLS</t>
        </is>
      </c>
      <c r="C23" s="3" t="inlineStr">
        <is>
          <t>Catalog</t>
        </is>
      </c>
      <c r="D23" s="3" t="inlineStr">
        <is>
          <t>catalog.control[@id].prop[@name='key-control']</t>
        </is>
      </c>
      <c r="E23" s="3" t="inlineStr">
        <is>
          <t>Extension Property</t>
        </is>
      </c>
      <c r="F23" s="3" t="inlineStr">
        <is>
          <t>Indicator of key/critical controls</t>
        </is>
      </c>
      <c r="G23" s="3" t="inlineStr">
        <is>
          <t>Single</t>
        </is>
      </c>
      <c r="H23" s="3" t="inlineStr">
        <is>
          <t>DECIMAL</t>
        </is>
      </c>
      <c r="I23" s="3" t="inlineStr">
        <is>
          <t>CORE TEXT CAPTURED</t>
        </is>
      </c>
      <c r="J23" s="3" t="inlineStr"/>
      <c r="K23" s="3" t="inlineStr">
        <is>
          <t>S01 + S02</t>
        </is>
      </c>
      <c r="L23" s="3" t="inlineStr">
        <is>
          <t>Determine whether this is a source-level aggregate/flag or a per-control relationship.</t>
        </is>
      </c>
      <c r="M23" s="3" t="inlineStr">
        <is>
          <t>pending</t>
        </is>
      </c>
      <c r="N23" s="6" t="inlineStr">
        <is>
          <t>REMAP REQUIRED</t>
        </is>
      </c>
      <c r="O23" s="3" t="inlineStr"/>
      <c r="P23" s="3" t="inlineStr"/>
      <c r="Q23" s="3" t="inlineStr">
        <is>
          <t>The field is source-level scalar data; the proposed target is a property on a specific control, but no control identity is carried by this scalar.</t>
        </is>
      </c>
      <c r="R23" s="3" t="inlineStr">
        <is>
          <t>Numeric scalar; value 0 in supplied sample.</t>
        </is>
      </c>
      <c r="S23" s="3" t="inlineStr">
        <is>
          <t>https://github.com/theenduser009/Oscal-mapping-strategy/blob/simplify-metadata-boundary/docs/checkpoints/2026-09-17-source2-source-curated-json-sample.md</t>
        </is>
      </c>
    </row>
    <row r="24">
      <c r="A24" s="3" t="inlineStr">
        <is>
          <t>24</t>
        </is>
      </c>
      <c r="B24" s="3" t="inlineStr">
        <is>
          <t>FINDINGS</t>
        </is>
      </c>
      <c r="C24" s="3" t="inlineStr">
        <is>
          <t>Assessment Results</t>
        </is>
      </c>
      <c r="D24" s="3" t="inlineStr">
        <is>
          <t>assessment-results.result.finding[@uuid]</t>
        </is>
      </c>
      <c r="E24" s="3" t="inlineStr">
        <is>
          <t>Reference</t>
        </is>
      </c>
      <c r="F24" s="3" t="inlineStr">
        <is>
          <t>Assessment findings related to this source</t>
        </is>
      </c>
      <c r="G24" s="3" t="inlineStr">
        <is>
          <t>Multi (likely reference)</t>
        </is>
      </c>
      <c r="H24" s="3" t="inlineStr">
        <is>
          <t>VARCHAR</t>
        </is>
      </c>
      <c r="I24" s="3" t="inlineStr">
        <is>
          <t>CORE TEXT CAPTURED</t>
        </is>
      </c>
      <c r="J24" s="3" t="inlineStr"/>
      <c r="K24" s="3" t="inlineStr">
        <is>
          <t>S01 + S02</t>
        </is>
      </c>
      <c r="L24" s="3" t="inlineStr">
        <is>
          <t>Resolve references before mapping.</t>
        </is>
      </c>
      <c r="M24" s="3" t="inlineStr">
        <is>
          <t>finding/reference (pending)</t>
        </is>
      </c>
      <c r="N24" s="5" t="inlineStr">
        <is>
          <t>DEFERRED - SOURCE SHAPE</t>
        </is>
      </c>
      <c r="O24" s="3" t="inlineStr"/>
      <c r="P24" s="3" t="inlineStr"/>
      <c r="Q24" s="3" t="inlineStr">
        <is>
          <t>Need populated cross-reference evidence and Assessment Results ownership before creating findings.</t>
        </is>
      </c>
      <c r="R24" s="3" t="inlineStr">
        <is>
          <t>Null in supplied sample.</t>
        </is>
      </c>
      <c r="S24" s="3" t="inlineStr">
        <is>
          <t>https://github.com/theenduser009/Oscal-mapping-strategy/blob/simplify-metadata-boundary/questions/SME_OPEN_QUESTIONS.md</t>
        </is>
      </c>
    </row>
    <row r="25">
      <c r="A25" s="3" t="inlineStr">
        <is>
          <t>25</t>
        </is>
      </c>
      <c r="B25" s="3" t="inlineStr">
        <is>
          <t>FINDINGS_AUTHORITATIVE_SOURCES</t>
        </is>
      </c>
      <c r="C25" s="3" t="inlineStr">
        <is>
          <t>Assessment Results</t>
        </is>
      </c>
      <c r="D25" s="3" t="inlineStr">
        <is>
          <t>assessment-results.result.finding.related-observation</t>
        </is>
      </c>
      <c r="E25" s="3" t="inlineStr">
        <is>
          <t>Reference</t>
        </is>
      </c>
      <c r="F25" s="3" t="inlineStr">
        <is>
          <t>Findings specific to authoritative source requirements</t>
        </is>
      </c>
      <c r="G25" s="3" t="inlineStr">
        <is>
          <t>Multi (likely reference)</t>
        </is>
      </c>
      <c r="H25" s="3" t="inlineStr">
        <is>
          <t>VARCHAR</t>
        </is>
      </c>
      <c r="I25" s="3" t="inlineStr">
        <is>
          <t>CORE TEXT CAPTURED</t>
        </is>
      </c>
      <c r="J25" s="3" t="inlineStr"/>
      <c r="K25" s="3" t="inlineStr">
        <is>
          <t>S01 + S02</t>
        </is>
      </c>
      <c r="L25" s="3" t="inlineStr">
        <is>
          <t>Preserve until finding/observation relationship is confirmed.</t>
        </is>
      </c>
      <c r="M25" s="3" t="inlineStr">
        <is>
          <t>pending</t>
        </is>
      </c>
      <c r="N25" s="5" t="inlineStr">
        <is>
          <t>DEFERRED - MODEL DESIGN</t>
        </is>
      </c>
      <c r="O25" s="3" t="inlineStr"/>
      <c r="P25" s="3" t="inlineStr"/>
      <c r="Q25" s="3" t="inlineStr">
        <is>
          <t>Relationship to findings/observations needs actual source-reference semantics.</t>
        </is>
      </c>
      <c r="R25" s="3" t="inlineStr">
        <is>
          <t>Null in supplied sample.</t>
        </is>
      </c>
      <c r="S25" s="3" t="inlineStr">
        <is>
          <t>https://github.com/theenduser009/Oscal-mapping-strategy/blob/simplify-metadata-boundary/questions/SME_OPEN_QUESTIONS.md</t>
        </is>
      </c>
    </row>
    <row r="26">
      <c r="A26" s="3" t="inlineStr">
        <is>
          <t>26</t>
        </is>
      </c>
      <c r="B26" s="3" t="inlineStr">
        <is>
          <t>CONTROL_TESTING_RESULTS_FAILED_EXTERNAL_CONTROL_REQUIREMENT</t>
        </is>
      </c>
      <c r="C26" s="3" t="inlineStr">
        <is>
          <t>Assessment Results</t>
        </is>
      </c>
      <c r="D26" s="3" t="inlineStr">
        <is>
          <t>assessment-results.result.finding.collected.prop[@name='test-result']</t>
        </is>
      </c>
      <c r="E26" s="3" t="inlineStr">
        <is>
          <t>Extension Property</t>
        </is>
      </c>
      <c r="F26" s="3" t="inlineStr">
        <is>
          <t>Failed control testing results</t>
        </is>
      </c>
      <c r="G26" s="3" t="inlineStr">
        <is>
          <t>Multi (likely reference)</t>
        </is>
      </c>
      <c r="H26" s="3" t="inlineStr">
        <is>
          <t>VARCHAR</t>
        </is>
      </c>
      <c r="I26" s="3" t="inlineStr">
        <is>
          <t>CORE TEXT CAPTURED</t>
        </is>
      </c>
      <c r="J26" s="3" t="inlineStr"/>
      <c r="K26" s="3" t="inlineStr">
        <is>
          <t>S01 + S02</t>
        </is>
      </c>
      <c r="L26" s="3" t="inlineStr">
        <is>
          <t>Do not infer finding membership.</t>
        </is>
      </c>
      <c r="M26" s="3" t="inlineStr">
        <is>
          <t>pending</t>
        </is>
      </c>
      <c r="N26" s="5" t="inlineStr">
        <is>
          <t>DEFERRED - MODEL DESIGN</t>
        </is>
      </c>
      <c r="O26" s="3" t="inlineStr"/>
      <c r="P26" s="3" t="inlineStr"/>
      <c r="Q26" s="3" t="inlineStr">
        <is>
          <t>Need source shape and Assessment Results semantics before creating finding properties.</t>
        </is>
      </c>
      <c r="R26" s="3" t="inlineStr">
        <is>
          <t>Null in supplied sample.</t>
        </is>
      </c>
      <c r="S26" s="3" t="inlineStr">
        <is>
          <t>https://github.com/theenduser009/Oscal-mapping-strategy/blob/simplify-metadata-boundary/questions/SME_OPEN_QUESTIONS.md</t>
        </is>
      </c>
    </row>
    <row r="27">
      <c r="A27" s="3" t="inlineStr">
        <is>
          <t>27</t>
        </is>
      </c>
      <c r="B27" s="3" t="inlineStr">
        <is>
          <t>DEVIATIONS_AUTHORITATIVE_SOURCES</t>
        </is>
      </c>
      <c r="C27" s="3" t="inlineStr">
        <is>
          <t>Assessment Results</t>
        </is>
      </c>
      <c r="D27" s="3" t="inlineStr">
        <is>
          <t>assessment-results.result.finding[@uuid].prop[@name='deviation']</t>
        </is>
      </c>
      <c r="E27" s="3" t="inlineStr">
        <is>
          <t>Extension Property</t>
        </is>
      </c>
      <c r="F27" s="3" t="inlineStr">
        <is>
          <t>Documented deviations from standards</t>
        </is>
      </c>
      <c r="G27" s="3" t="inlineStr">
        <is>
          <t>Multi (likely reference)</t>
        </is>
      </c>
      <c r="H27" s="3" t="inlineStr">
        <is>
          <t>VARCHAR</t>
        </is>
      </c>
      <c r="I27" s="3" t="inlineStr">
        <is>
          <t>CORE TEXT CAPTURED</t>
        </is>
      </c>
      <c r="J27" s="3" t="inlineStr"/>
      <c r="K27" s="3" t="inlineStr">
        <is>
          <t>S01 + S02</t>
        </is>
      </c>
      <c r="L27" s="3" t="inlineStr">
        <is>
          <t>Preserve exact field; defer runtime mapping.</t>
        </is>
      </c>
      <c r="M27" s="3" t="inlineStr">
        <is>
          <t>pending</t>
        </is>
      </c>
      <c r="N27" s="5" t="inlineStr">
        <is>
          <t>DEFERRED - MODEL DESIGN</t>
        </is>
      </c>
      <c r="O27" s="3" t="inlineStr"/>
      <c r="P27" s="3" t="inlineStr"/>
      <c r="Q27" s="3" t="inlineStr">
        <is>
          <t>Deviation concept and its Assessment Results representation remain SME-governed.</t>
        </is>
      </c>
      <c r="R27" s="3" t="inlineStr">
        <is>
          <t>Null in supplied sample.</t>
        </is>
      </c>
      <c r="S27" s="3" t="inlineStr">
        <is>
          <t>https://github.com/theenduser009/Oscal-mapping-strategy/blob/simplify-metadata-boundary/questions/SME_OPEN_QUESTIONS.md</t>
        </is>
      </c>
    </row>
    <row r="28">
      <c r="A28" s="3" t="inlineStr">
        <is>
          <t>28</t>
        </is>
      </c>
      <c r="B28" s="3" t="inlineStr">
        <is>
          <t>DEVIATIONS_AUTHORITATIVE_SOURCES_LINKED_TO_CONTROL_STANDARDS</t>
        </is>
      </c>
      <c r="C28" s="3" t="inlineStr">
        <is>
          <t>Assessment Results</t>
        </is>
      </c>
      <c r="D28" s="3" t="inlineStr">
        <is>
          <t>assessment-results.result.finding.related-observation.relevant-evidence.link</t>
        </is>
      </c>
      <c r="E28" s="3" t="inlineStr">
        <is>
          <t>Reference</t>
        </is>
      </c>
      <c r="F28" s="3" t="inlineStr">
        <is>
          <t>Links deviations to specific control standards</t>
        </is>
      </c>
      <c r="G28" s="3" t="inlineStr">
        <is>
          <t>Multi (likely reference)</t>
        </is>
      </c>
      <c r="H28" s="3" t="inlineStr">
        <is>
          <t>VARCHAR</t>
        </is>
      </c>
      <c r="I28" s="3" t="inlineStr">
        <is>
          <t>CORE TEXT CAPTURED</t>
        </is>
      </c>
      <c r="J28" s="3" t="inlineStr"/>
      <c r="K28" s="3" t="inlineStr">
        <is>
          <t>S01 + S02</t>
        </is>
      </c>
      <c r="L28" s="3" t="inlineStr">
        <is>
          <t>Preserve exact cross-reference until relationship is verified.</t>
        </is>
      </c>
      <c r="M28" s="3" t="inlineStr">
        <is>
          <t>pending</t>
        </is>
      </c>
      <c r="N28" s="5" t="inlineStr">
        <is>
          <t>DEFERRED - MODEL DESIGN</t>
        </is>
      </c>
      <c r="O28" s="3" t="inlineStr"/>
      <c r="P28" s="3" t="inlineStr"/>
      <c r="Q28" s="3" t="inlineStr">
        <is>
          <t>Need deviation-to-control relationship evidence before relevant-evidence/link mapping.</t>
        </is>
      </c>
      <c r="R28" s="3" t="inlineStr">
        <is>
          <t>Null in supplied sample.</t>
        </is>
      </c>
      <c r="S28" s="3" t="inlineStr">
        <is>
          <t>https://github.com/theenduser009/Oscal-mapping-strategy/blob/simplify-metadata-boundary/questions/SME_OPEN_QUESTIONS.md</t>
        </is>
      </c>
    </row>
    <row r="29">
      <c r="A29" s="3" t="inlineStr">
        <is>
          <t>29</t>
        </is>
      </c>
      <c r="B29" s="3" t="inlineStr">
        <is>
          <t>SOURCE_TYPE</t>
        </is>
      </c>
      <c r="C29" s="3" t="inlineStr">
        <is>
          <t>Catalog - Metadata</t>
        </is>
      </c>
      <c r="D29" s="3" t="inlineStr">
        <is>
          <t>catalog.metadata.prop[@name='source-type']</t>
        </is>
      </c>
      <c r="E29" s="3" t="inlineStr">
        <is>
          <t>Extension Property</t>
        </is>
      </c>
      <c r="F29" s="3" t="inlineStr">
        <is>
          <t>Type of authoritative source (e.g., regulation, standard, framework)</t>
        </is>
      </c>
      <c r="G29" s="3" t="inlineStr">
        <is>
          <t>Single</t>
        </is>
      </c>
      <c r="H29" s="3" t="inlineStr">
        <is>
          <t>VARCHAR</t>
        </is>
      </c>
      <c r="I29" s="3" t="inlineStr">
        <is>
          <t>CORE TEXT CAPTURED</t>
        </is>
      </c>
      <c r="J29" s="3" t="inlineStr"/>
      <c r="K29" s="3" t="inlineStr">
        <is>
          <t>S01 + S02</t>
        </is>
      </c>
      <c r="L29" s="3" t="inlineStr">
        <is>
          <t>Resolve one/more select labels and emit string property values.</t>
        </is>
      </c>
      <c r="M29" s="3" t="inlineStr">
        <is>
          <t>property value: string</t>
        </is>
      </c>
      <c r="N29" s="4" t="inlineStr">
        <is>
          <t>READY - LOOKUP</t>
        </is>
      </c>
      <c r="O29" s="3" t="inlineStr">
        <is>
          <t>archer-select</t>
        </is>
      </c>
      <c r="P29" s="3" t="inlineStr">
        <is>
          <t>catalog.metadata.props[]</t>
        </is>
      </c>
      <c r="Q29" s="3" t="inlineStr">
        <is>
          <t>Resolve Archer ValuesListIds through ARCHER_META_VALUE and emit property name source-type.</t>
        </is>
      </c>
      <c r="R29" s="3" t="inlineStr">
        <is>
          <t>Archer value-list object with ValuesListIds.</t>
        </is>
      </c>
      <c r="S29" s="3" t="inlineStr">
        <is>
          <t>https://github.com/theenduser009/Oscal-mapping-strategy/blob/simplify-metadata-boundary/docs/checkpoints/2026-09-17-source2-source-curated-json-sample.md</t>
        </is>
      </c>
    </row>
    <row r="30">
      <c r="A30" s="3" t="inlineStr">
        <is>
          <t>30</t>
        </is>
      </c>
      <c r="B30" s="3" t="inlineStr">
        <is>
          <t>CRITICALITY</t>
        </is>
      </c>
      <c r="C30" s="3" t="inlineStr">
        <is>
          <t>Catalog - Metadata</t>
        </is>
      </c>
      <c r="D30" s="3" t="inlineStr">
        <is>
          <t>catalog.metadata.prop[@name='criticality']</t>
        </is>
      </c>
      <c r="E30" s="3" t="inlineStr">
        <is>
          <t>Extension Property</t>
        </is>
      </c>
      <c r="F30" s="3" t="inlineStr">
        <is>
          <t>Criticality level of the source</t>
        </is>
      </c>
      <c r="G30" s="3" t="inlineStr">
        <is>
          <t>Single</t>
        </is>
      </c>
      <c r="H30" s="3" t="inlineStr">
        <is>
          <t>VARCHAR</t>
        </is>
      </c>
      <c r="I30" s="3" t="inlineStr">
        <is>
          <t>CORE TEXT CAPTURED</t>
        </is>
      </c>
      <c r="J30" s="3" t="inlineStr"/>
      <c r="K30" s="3" t="inlineStr">
        <is>
          <t>S03 + S04</t>
        </is>
      </c>
      <c r="L30" s="3" t="inlineStr">
        <is>
          <t>Resolve select labels and emit string property values.</t>
        </is>
      </c>
      <c r="M30" s="3" t="inlineStr">
        <is>
          <t>property value: string</t>
        </is>
      </c>
      <c r="N30" s="4" t="inlineStr">
        <is>
          <t>READY - LOOKUP</t>
        </is>
      </c>
      <c r="O30" s="3" t="inlineStr">
        <is>
          <t>archer-select</t>
        </is>
      </c>
      <c r="P30" s="3" t="inlineStr">
        <is>
          <t>catalog.metadata.props[]</t>
        </is>
      </c>
      <c r="Q30" s="3" t="inlineStr">
        <is>
          <t>Resolve Archer ValuesListIds and emit property name criticality.</t>
        </is>
      </c>
      <c r="R30" s="3" t="inlineStr">
        <is>
          <t>Archer value-list object with ValuesListIds.</t>
        </is>
      </c>
      <c r="S30" s="3" t="inlineStr">
        <is>
          <t>https://github.com/theenduser009/Oscal-mapping-strategy/blob/simplify-metadata-boundary/docs/checkpoints/2026-09-17-source2-source-curated-json-sample.md</t>
        </is>
      </c>
    </row>
    <row r="31">
      <c r="A31" s="3" t="inlineStr">
        <is>
          <t>31</t>
        </is>
      </c>
      <c r="B31" s="3" t="inlineStr">
        <is>
          <t>SOURCE_CRITICALITY_VALUE</t>
        </is>
      </c>
      <c r="C31" s="3" t="inlineStr">
        <is>
          <t>Catalog - Metadata</t>
        </is>
      </c>
      <c r="D31" s="3" t="inlineStr">
        <is>
          <t>catalog.metadata.prop[@name='criticality-value']</t>
        </is>
      </c>
      <c r="E31" s="3" t="inlineStr">
        <is>
          <t>Extension Property</t>
        </is>
      </c>
      <c r="F31" s="3" t="inlineStr">
        <is>
          <t>Numeric criticality score</t>
        </is>
      </c>
      <c r="G31" s="3" t="inlineStr">
        <is>
          <t>Single</t>
        </is>
      </c>
      <c r="H31" s="3" t="inlineStr">
        <is>
          <t>DECIMAL</t>
        </is>
      </c>
      <c r="I31" s="3" t="inlineStr">
        <is>
          <t>CORE TEXT CAPTURED</t>
        </is>
      </c>
      <c r="J31" s="3" t="inlineStr"/>
      <c r="K31" s="3" t="inlineStr">
        <is>
          <t>S03 + S04</t>
        </is>
      </c>
      <c r="L31" s="3" t="inlineStr">
        <is>
          <t>Convert finite scalar to string property value; property name='criticality-value'.</t>
        </is>
      </c>
      <c r="M31" s="3" t="inlineStr">
        <is>
          <t>property value: string</t>
        </is>
      </c>
      <c r="N31" s="4" t="inlineStr">
        <is>
          <t>READY - RUNTIME ENHANCEMENT</t>
        </is>
      </c>
      <c r="O31" s="3" t="inlineStr">
        <is>
          <t>direct</t>
        </is>
      </c>
      <c r="P31" s="3" t="inlineStr">
        <is>
          <t>catalog.metadata.props[]</t>
        </is>
      </c>
      <c r="Q31" s="3" t="inlineStr">
        <is>
          <t>Map scalar score as property name criticality-value. Requires explicit property-name override.</t>
        </is>
      </c>
      <c r="R31" s="3" t="inlineStr">
        <is>
          <t>Numeric scalar; value 0 in supplied sample.</t>
        </is>
      </c>
      <c r="S31" s="3" t="inlineStr">
        <is>
          <t>https://github.com/theenduser009/Oscal-mapping-strategy/blob/simplify-metadata-boundary/questions/SME_OPEN_QUESTIONS.md</t>
        </is>
      </c>
    </row>
    <row r="32">
      <c r="A32" s="3" t="inlineStr">
        <is>
          <t>32</t>
        </is>
      </c>
      <c r="B32" s="3" t="inlineStr">
        <is>
          <t>AUTH_SOURCES_FILTER</t>
        </is>
      </c>
      <c r="C32" s="3" t="inlineStr">
        <is>
          <t>Catalog - Metadata</t>
        </is>
      </c>
      <c r="D32" s="3" t="inlineStr">
        <is>
          <t>catalog.metadata.prop[@name='filter-category']</t>
        </is>
      </c>
      <c r="E32" s="3" t="inlineStr">
        <is>
          <t>Extension Property</t>
        </is>
      </c>
      <c r="F32" s="3" t="inlineStr">
        <is>
          <t>Categorization or filtering criteria</t>
        </is>
      </c>
      <c r="G32" s="3" t="inlineStr">
        <is>
          <t>Single</t>
        </is>
      </c>
      <c r="H32" s="3" t="inlineStr">
        <is>
          <t>VARCHAR</t>
        </is>
      </c>
      <c r="I32" s="3" t="inlineStr">
        <is>
          <t>CORE TEXT CAPTURED</t>
        </is>
      </c>
      <c r="J32" s="3" t="inlineStr"/>
      <c r="K32" s="3" t="inlineStr">
        <is>
          <t>S03 + S04</t>
        </is>
      </c>
      <c r="L32" s="3" t="inlineStr">
        <is>
          <t>Resolve select labels and emit named property filter-category.</t>
        </is>
      </c>
      <c r="M32" s="3" t="inlineStr">
        <is>
          <t>property value: string</t>
        </is>
      </c>
      <c r="N32" s="4" t="inlineStr">
        <is>
          <t>READY - LOOKUP/RUNTIME</t>
        </is>
      </c>
      <c r="O32" s="3" t="inlineStr">
        <is>
          <t>archer-select</t>
        </is>
      </c>
      <c r="P32" s="3" t="inlineStr">
        <is>
          <t>catalog.metadata.props[]</t>
        </is>
      </c>
      <c r="Q32" s="3" t="inlineStr">
        <is>
          <t>Resolve Archer ValuesListIds and emit property name filter-category. Exact name requires property-name override.</t>
        </is>
      </c>
      <c r="R32" s="3" t="inlineStr">
        <is>
          <t>Archer value-list object with ValuesListIds.</t>
        </is>
      </c>
      <c r="S32" s="3" t="inlineStr">
        <is>
          <t>https://github.com/theenduser009/Oscal-mapping-strategy/blob/simplify-metadata-boundary/docs/checkpoints/2026-09-17-source2-source-curated-json-sample.md</t>
        </is>
      </c>
    </row>
    <row r="33">
      <c r="A33" s="3" t="inlineStr">
        <is>
          <t>33</t>
        </is>
      </c>
      <c r="B33" s="3" t="inlineStr">
        <is>
          <t>POLICIES_AUTHORITATIVE_SOURCE_REFERENCES</t>
        </is>
      </c>
      <c r="C33" s="3" t="inlineStr">
        <is>
          <t>Component Definition</t>
        </is>
      </c>
      <c r="D33" s="3" t="inlineStr">
        <is>
          <t>component-definition.component.link[@rel='policy']</t>
        </is>
      </c>
      <c r="E33" s="3" t="inlineStr">
        <is>
          <t>Reference</t>
        </is>
      </c>
      <c r="F33" s="3" t="inlineStr">
        <is>
          <t>Links to related policy documents</t>
        </is>
      </c>
      <c r="G33" s="3" t="inlineStr">
        <is>
          <t>Multi (likely reference)</t>
        </is>
      </c>
      <c r="H33" s="3" t="inlineStr">
        <is>
          <t>VARCHAR</t>
        </is>
      </c>
      <c r="I33" s="3" t="inlineStr">
        <is>
          <t>CORE TEXT CAPTURED</t>
        </is>
      </c>
      <c r="J33" s="3" t="inlineStr"/>
      <c r="K33" s="3" t="inlineStr">
        <is>
          <t>S03 + S04</t>
        </is>
      </c>
      <c r="L33" s="3" t="inlineStr">
        <is>
          <t>Resolve reference identity first.</t>
        </is>
      </c>
      <c r="M33" s="3" t="inlineStr">
        <is>
          <t>link/reference (pending)</t>
        </is>
      </c>
      <c r="N33" s="5" t="inlineStr">
        <is>
          <t>DEFERRED - SOURCE SHAPE</t>
        </is>
      </c>
      <c r="O33" s="3" t="inlineStr"/>
      <c r="P33" s="3" t="inlineStr"/>
      <c r="Q33" s="3" t="inlineStr">
        <is>
          <t>Need populated reference objects and policy identity before creating Component Definition links.</t>
        </is>
      </c>
      <c r="R33" s="3" t="inlineStr">
        <is>
          <t>Populated shape not established in supplied sample.</t>
        </is>
      </c>
      <c r="S33" s="3" t="inlineStr">
        <is>
          <t>https://github.com/theenduser009/Oscal-mapping-strategy/blob/simplify-metadata-boundary/questions/SME_OPEN_QUESTIONS.md</t>
        </is>
      </c>
    </row>
    <row r="34">
      <c r="A34" s="3" t="inlineStr">
        <is>
          <t>34</t>
        </is>
      </c>
      <c r="B34" s="3" t="inlineStr">
        <is>
          <t>POLICY_LEVEL_3</t>
        </is>
      </c>
      <c r="C34" s="3" t="inlineStr">
        <is>
          <t>Component Definition</t>
        </is>
      </c>
      <c r="D34" s="3" t="inlineStr">
        <is>
          <t>component-definition.component.prop[@name='policy-level']</t>
        </is>
      </c>
      <c r="E34" s="3" t="inlineStr">
        <is>
          <t>Extension Property</t>
        </is>
      </c>
      <c r="F34" s="3" t="inlineStr">
        <is>
          <t>Hierarchical policy level</t>
        </is>
      </c>
      <c r="G34" s="3" t="inlineStr">
        <is>
          <t>Single</t>
        </is>
      </c>
      <c r="H34" s="3" t="inlineStr">
        <is>
          <t>VARCHAR</t>
        </is>
      </c>
      <c r="I34" s="3" t="inlineStr">
        <is>
          <t>CORE TEXT CAPTURED</t>
        </is>
      </c>
      <c r="J34" s="3" t="inlineStr"/>
      <c r="K34" s="3" t="inlineStr">
        <is>
          <t>S03 + S04</t>
        </is>
      </c>
      <c r="L34" s="3" t="inlineStr">
        <is>
          <t>Do not create a component solely from the field label.</t>
        </is>
      </c>
      <c r="M34" s="3" t="inlineStr">
        <is>
          <t>pending</t>
        </is>
      </c>
      <c r="N34" s="5" t="inlineStr">
        <is>
          <t>DEFERRED - MODEL DESIGN</t>
        </is>
      </c>
      <c r="O34" s="3" t="inlineStr"/>
      <c r="P34" s="3" t="inlineStr"/>
      <c r="Q34" s="3" t="inlineStr">
        <is>
          <t>Component Definition ownership and documentary-component identity are not established from this Source record.</t>
        </is>
      </c>
      <c r="R34" s="3" t="inlineStr">
        <is>
          <t>Null in supplied sample.</t>
        </is>
      </c>
      <c r="S34" s="3" t="inlineStr">
        <is>
          <t>https://github.com/theenduser009/Oscal-mapping-strategy/blob/simplify-metadata-boundary/questions/SME_OPEN_QUESTIONS.md</t>
        </is>
      </c>
    </row>
    <row r="35">
      <c r="A35" s="3" t="inlineStr">
        <is>
          <t>35</t>
        </is>
      </c>
      <c r="B35" s="3" t="inlineStr">
        <is>
          <t>POLICY_LEVEL_3_FROM_TOPIC_SECTION_AND_SUBSECTION_LEVELS</t>
        </is>
      </c>
      <c r="C35" s="3" t="inlineStr">
        <is>
          <t>Component Definition</t>
        </is>
      </c>
      <c r="D35" s="3" t="inlineStr">
        <is>
          <t>component-definition.component.prop[@name='policy-level']</t>
        </is>
      </c>
      <c r="E35" s="3" t="inlineStr">
        <is>
          <t>Extension Property</t>
        </is>
      </c>
      <c r="F35" s="3" t="inlineStr">
        <is>
          <t>Policy level from hierarchical topic structure</t>
        </is>
      </c>
      <c r="G35" s="3" t="inlineStr">
        <is>
          <t>Single</t>
        </is>
      </c>
      <c r="H35" s="3" t="inlineStr">
        <is>
          <t>VARCHAR</t>
        </is>
      </c>
      <c r="I35" s="3" t="inlineStr">
        <is>
          <t>CORE TEXT CAPTURED</t>
        </is>
      </c>
      <c r="J35" s="3" t="inlineStr"/>
      <c r="K35" s="3" t="inlineStr">
        <is>
          <t>S03 + S04</t>
        </is>
      </c>
      <c r="L35" s="3" t="inlineStr">
        <is>
          <t>Defer until hierarchy and policy identity are confirmed.</t>
        </is>
      </c>
      <c r="M35" s="3" t="inlineStr">
        <is>
          <t>pending</t>
        </is>
      </c>
      <c r="N35" s="5" t="inlineStr">
        <is>
          <t>DEFERRED - HIERARCHY</t>
        </is>
      </c>
      <c r="O35" s="3" t="inlineStr"/>
      <c r="P35" s="3" t="inlineStr"/>
      <c r="Q35" s="3" t="inlineStr">
        <is>
          <t>Descendant policy roll-up depends on the four-table hierarchy and component ownership.</t>
        </is>
      </c>
      <c r="R35" s="3" t="inlineStr">
        <is>
          <t>Null in supplied sample.</t>
        </is>
      </c>
      <c r="S35" s="3" t="inlineStr">
        <is>
          <t>https://github.com/theenduser009/Oscal-mapping-strategy/blob/simplify-metadata-boundary/questions/SME_OPEN_QUESTIONS.md</t>
        </is>
      </c>
    </row>
    <row r="36">
      <c r="A36" s="3" t="inlineStr">
        <is>
          <t>36</t>
        </is>
      </c>
      <c r="B36" s="3" t="inlineStr">
        <is>
          <t>POLICY_LEVEL_3__FROM_TOPIC_SECTION_AND_SUBSECTION_LEVELS</t>
        </is>
      </c>
      <c r="C36" s="3" t="inlineStr">
        <is>
          <t>Component Definition</t>
        </is>
      </c>
      <c r="D36" s="3" t="inlineStr">
        <is>
          <t>component-definition.component.prop[@name='policy-level']</t>
        </is>
      </c>
      <c r="E36" s="3" t="inlineStr">
        <is>
          <t>Extension Property</t>
        </is>
      </c>
      <c r="F36" s="3" t="inlineStr">
        <is>
          <t>Duplicate field - appears to be same as above</t>
        </is>
      </c>
      <c r="G36" s="3" t="inlineStr">
        <is>
          <t>Single</t>
        </is>
      </c>
      <c r="H36" s="3" t="inlineStr">
        <is>
          <t>VARCHAR</t>
        </is>
      </c>
      <c r="I36" s="3" t="inlineStr">
        <is>
          <t>CORE TEXT CAPTURED</t>
        </is>
      </c>
      <c r="J36" s="3" t="inlineStr"/>
      <c r="K36" s="3" t="inlineStr">
        <is>
          <t>S03 + S04</t>
        </is>
      </c>
      <c r="L36" s="3" t="inlineStr">
        <is>
          <t>No automatic normalization.</t>
        </is>
      </c>
      <c r="M36" s="3" t="inlineStr">
        <is>
          <t>pending</t>
        </is>
      </c>
      <c r="N36" s="5" t="inlineStr">
        <is>
          <t>DEFERRED - ALIAS</t>
        </is>
      </c>
      <c r="O36" s="3" t="inlineStr"/>
      <c r="P36" s="3" t="inlineStr"/>
      <c r="Q36" s="3" t="inlineStr">
        <is>
          <t>Extra-underscore source field must remain distinct until confirmed as alias/duplicate.</t>
        </is>
      </c>
      <c r="R36" s="3" t="inlineStr">
        <is>
          <t>Null in supplied sample.</t>
        </is>
      </c>
      <c r="S36" s="3" t="inlineStr">
        <is>
          <t>https://github.com/theenduser009/Oscal-mapping-strategy/blob/simplify-metadata-boundary/questions/SME_OPEN_QUESTIONS.md</t>
        </is>
      </c>
    </row>
    <row r="37">
      <c r="A37" s="3" t="inlineStr">
        <is>
          <t>37</t>
        </is>
      </c>
      <c r="B37" s="3" t="inlineStr">
        <is>
          <t>LINKED_TO_POLICY_SOURCE_LEVEL</t>
        </is>
      </c>
      <c r="C37" s="3" t="inlineStr">
        <is>
          <t>Component Definition</t>
        </is>
      </c>
      <c r="D37" s="3" t="inlineStr">
        <is>
          <t>component-definition.component.link[@rel='source-policy']</t>
        </is>
      </c>
      <c r="E37" s="3" t="inlineStr">
        <is>
          <t>Reference</t>
        </is>
      </c>
      <c r="F37" s="3" t="inlineStr">
        <is>
          <t>Link to source-level policies</t>
        </is>
      </c>
      <c r="G37" s="3" t="inlineStr">
        <is>
          <t>Multi (likely reference)</t>
        </is>
      </c>
      <c r="H37" s="3" t="inlineStr">
        <is>
          <t>VARCHAR</t>
        </is>
      </c>
      <c r="I37" s="3" t="inlineStr">
        <is>
          <t>CORE TEXT CAPTURED</t>
        </is>
      </c>
      <c r="J37" s="3" t="inlineStr"/>
      <c r="K37" s="3" t="inlineStr">
        <is>
          <t>S03 + S04</t>
        </is>
      </c>
      <c r="L37" s="3" t="inlineStr">
        <is>
          <t>Determine business meaning of the select label before choosing an OSCAL destination.</t>
        </is>
      </c>
      <c r="M37" s="3" t="inlineStr">
        <is>
          <t>pending</t>
        </is>
      </c>
      <c r="N37" s="6" t="inlineStr">
        <is>
          <t>REMAP REQUIRED</t>
        </is>
      </c>
      <c r="O37" s="3" t="inlineStr"/>
      <c r="P37" s="3" t="inlineStr"/>
      <c r="Q37" s="3" t="inlineStr">
        <is>
          <t>Live CURATED_JSON shows an Archer value-list container, not a cross-reference. Current Component Definition link mapping is not supported by the source shape.</t>
        </is>
      </c>
      <c r="R37" s="3" t="inlineStr">
        <is>
          <t>Archer value-list object with ValuesListIds.</t>
        </is>
      </c>
      <c r="S37" s="3" t="inlineStr">
        <is>
          <t>https://github.com/theenduser009/Oscal-mapping-strategy/blob/simplify-metadata-boundary/docs/checkpoints/2026-09-17-source2-source-curated-json-sample.md</t>
        </is>
      </c>
    </row>
    <row r="38">
      <c r="A38" s="3" t="inlineStr">
        <is>
          <t>38</t>
        </is>
      </c>
      <c r="B38" s="3" t="inlineStr">
        <is>
          <t>NUMBER_OF_POLICIES_SOURCE_LEVEL</t>
        </is>
      </c>
      <c r="C38" s="3" t="inlineStr">
        <is>
          <t>Component Definition</t>
        </is>
      </c>
      <c r="D38" s="3" t="inlineStr">
        <is>
          <t>component-definition.component.prop[@name='policy-count']</t>
        </is>
      </c>
      <c r="E38" s="3" t="inlineStr">
        <is>
          <t>Extension Property</t>
        </is>
      </c>
      <c r="F38" s="3" t="inlineStr">
        <is>
          <t>Count of policies at source level</t>
        </is>
      </c>
      <c r="G38" s="3" t="inlineStr">
        <is>
          <t>Single</t>
        </is>
      </c>
      <c r="H38" s="3" t="inlineStr">
        <is>
          <t>DECIMAL</t>
        </is>
      </c>
      <c r="I38" s="3" t="inlineStr">
        <is>
          <t>CORE TEXT CAPTURED</t>
        </is>
      </c>
      <c r="J38" s="3" t="inlineStr"/>
      <c r="K38" s="3" t="inlineStr">
        <is>
          <t>S03 + S04</t>
        </is>
      </c>
      <c r="L38" s="3" t="inlineStr">
        <is>
          <t>Preserve metric; decide owner object/model first.</t>
        </is>
      </c>
      <c r="M38" s="3" t="inlineStr">
        <is>
          <t>pending</t>
        </is>
      </c>
      <c r="N38" s="5" t="inlineStr">
        <is>
          <t>DEFERRED - MODEL DESIGN</t>
        </is>
      </c>
      <c r="O38" s="3" t="inlineStr"/>
      <c r="P38" s="3" t="inlineStr"/>
      <c r="Q38" s="3" t="inlineStr">
        <is>
          <t>Source-level policy count may be useful, but the proposed Component Definition component context is not established.</t>
        </is>
      </c>
      <c r="R38" s="3" t="inlineStr">
        <is>
          <t>Numeric scalar; value 0 in supplied sample.</t>
        </is>
      </c>
      <c r="S38" s="3" t="inlineStr">
        <is>
          <t>https://github.com/theenduser009/Oscal-mapping-strategy/blob/simplify-metadata-boundary/docs/checkpoints/2026-09-17-source2-source-curated-json-sample.md</t>
        </is>
      </c>
    </row>
    <row r="39">
      <c r="A39" s="3" t="inlineStr">
        <is>
          <t>39</t>
        </is>
      </c>
      <c r="B39" s="3" t="inlineStr">
        <is>
          <t>ENGAGEMENT_SCOPE_IN_CONTROL_SOURCE</t>
        </is>
      </c>
      <c r="C39" s="3" t="inlineStr">
        <is>
          <t>Assessment Plan</t>
        </is>
      </c>
      <c r="D39" s="3" t="inlineStr">
        <is>
          <t>assessment-plan.local-definitions.activity.prop[@name='scope']</t>
        </is>
      </c>
      <c r="E39" s="3" t="inlineStr">
        <is>
          <t>Extension Property</t>
        </is>
      </c>
      <c r="F39" s="3" t="inlineStr">
        <is>
          <t>Scope of compliance engagement</t>
        </is>
      </c>
      <c r="G39" s="3" t="inlineStr">
        <is>
          <t>Single</t>
        </is>
      </c>
      <c r="H39" s="3" t="inlineStr">
        <is>
          <t>VARCHAR</t>
        </is>
      </c>
      <c r="I39" s="3" t="inlineStr">
        <is>
          <t>CORE TEXT CAPTURED</t>
        </is>
      </c>
      <c r="J39" s="3" t="inlineStr"/>
      <c r="K39" s="3" t="inlineStr">
        <is>
          <t>S03 + S04</t>
        </is>
      </c>
      <c r="L39" s="3" t="inlineStr">
        <is>
          <t>Resolve label with Archer lookup only after activity ownership is confirmed.</t>
        </is>
      </c>
      <c r="M39" s="3" t="inlineStr">
        <is>
          <t>pending</t>
        </is>
      </c>
      <c r="N39" s="5" t="inlineStr">
        <is>
          <t>DEFERRED - MODEL DESIGN</t>
        </is>
      </c>
      <c r="O39" s="3" t="inlineStr"/>
      <c r="P39" s="3" t="inlineStr"/>
      <c r="Q39" s="3" t="inlineStr">
        <is>
          <t>Source shape is a value-list; Assessment Plan activity identity/grain is not yet defined for Source 2.</t>
        </is>
      </c>
      <c r="R39" s="3" t="inlineStr">
        <is>
          <t>Archer value-list object with ValuesListIds.</t>
        </is>
      </c>
      <c r="S39" s="3" t="inlineStr">
        <is>
          <t>https://github.com/theenduser009/Oscal-mapping-strategy/blob/simplify-metadata-boundary/docs/checkpoints/2026-09-17-source2-source-curated-json-sample.md</t>
        </is>
      </c>
    </row>
    <row r="40">
      <c r="A40" s="3" t="inlineStr">
        <is>
          <t>40</t>
        </is>
      </c>
      <c r="B40" s="3" t="inlineStr">
        <is>
          <t>COMPLIANCE_ENGAGEMENTS_SCOPE_PROCEDURES_FROM_SELECTED_AUTHORITATIVE_SOURCES</t>
        </is>
      </c>
      <c r="C40" s="3" t="inlineStr">
        <is>
          <t>Assessment Plan</t>
        </is>
      </c>
      <c r="D40" s="3" t="inlineStr">
        <is>
          <t>assessment-plan.local-definitions.activity.step</t>
        </is>
      </c>
      <c r="E40" s="3" t="inlineStr">
        <is>
          <t>Direct</t>
        </is>
      </c>
      <c r="F40" s="3" t="inlineStr">
        <is>
          <t>Procedures for compliance engagements</t>
        </is>
      </c>
      <c r="G40" s="3" t="inlineStr">
        <is>
          <t>Single</t>
        </is>
      </c>
      <c r="H40" s="3" t="inlineStr">
        <is>
          <t>VARCHAR</t>
        </is>
      </c>
      <c r="I40" s="3" t="inlineStr">
        <is>
          <t>CORE TEXT CAPTURED</t>
        </is>
      </c>
      <c r="J40" s="3" t="inlineStr"/>
      <c r="K40" s="3" t="inlineStr">
        <is>
          <t>S03 + S04</t>
        </is>
      </c>
      <c r="L40" s="3" t="inlineStr">
        <is>
          <t>Inspect populated rows first.</t>
        </is>
      </c>
      <c r="M40" s="3" t="inlineStr">
        <is>
          <t>pending</t>
        </is>
      </c>
      <c r="N40" s="5" t="inlineStr">
        <is>
          <t>DEFERRED - SOURCE SHAPE</t>
        </is>
      </c>
      <c r="O40" s="3" t="inlineStr"/>
      <c r="P40" s="3" t="inlineStr"/>
      <c r="Q40" s="3" t="inlineStr">
        <is>
          <t>Need populated narrative/list shape plus Assessment Plan activity structure before mapping to steps.</t>
        </is>
      </c>
      <c r="R40" s="3" t="inlineStr">
        <is>
          <t>Null in supplied sample.</t>
        </is>
      </c>
      <c r="S40" s="3" t="inlineStr">
        <is>
          <t>https://github.com/theenduser009/Oscal-mapping-strategy/blob/simplify-metadata-boundary/questions/SME_OPEN_QUESTIONS.md</t>
        </is>
      </c>
    </row>
    <row r="41">
      <c r="A41" s="3" t="inlineStr">
        <is>
          <t>41</t>
        </is>
      </c>
      <c r="B41" s="3" t="inlineStr">
        <is>
          <t>QUESTION_LIBRARY</t>
        </is>
      </c>
      <c r="C41" s="3" t="inlineStr">
        <is>
          <t>Assessment Plan</t>
        </is>
      </c>
      <c r="D41" s="3" t="inlineStr">
        <is>
          <t>assessment-plan.local-definitions.activity.prop[@name='question-library']</t>
        </is>
      </c>
      <c r="E41" s="3" t="inlineStr">
        <is>
          <t>Extension Property</t>
        </is>
      </c>
      <c r="F41" s="3" t="inlineStr">
        <is>
          <t>Assessment questionnaire references</t>
        </is>
      </c>
      <c r="G41" s="3" t="inlineStr">
        <is>
          <t>Multi (likely reference)</t>
        </is>
      </c>
      <c r="H41" s="3" t="inlineStr">
        <is>
          <t>VARCHAR</t>
        </is>
      </c>
      <c r="I41" s="3" t="inlineStr">
        <is>
          <t>CORE TEXT CAPTURED</t>
        </is>
      </c>
      <c r="J41" s="3" t="inlineStr"/>
      <c r="K41" s="3" t="inlineStr">
        <is>
          <t>S03 + S04</t>
        </is>
      </c>
      <c r="L41" s="3" t="inlineStr">
        <is>
          <t>Inspect populated rows and referenced identities.</t>
        </is>
      </c>
      <c r="M41" s="3" t="inlineStr">
        <is>
          <t>pending</t>
        </is>
      </c>
      <c r="N41" s="5" t="inlineStr">
        <is>
          <t>DEFERRED - SOURCE SHAPE</t>
        </is>
      </c>
      <c r="O41" s="3" t="inlineStr"/>
      <c r="P41" s="3" t="inlineStr"/>
      <c r="Q41" s="3" t="inlineStr">
        <is>
          <t>Need populated values and Assessment Plan questionnaire semantics before mapping.</t>
        </is>
      </c>
      <c r="R41" s="3" t="inlineStr">
        <is>
          <t>Null in supplied sample.</t>
        </is>
      </c>
      <c r="S41" s="3" t="inlineStr">
        <is>
          <t>https://github.com/theenduser009/Oscal-mapping-strategy/blob/simplify-metadata-boundary/questions/SME_OPEN_QUESTIONS.md</t>
        </is>
      </c>
    </row>
    <row r="42">
      <c r="A42" s="3" t="inlineStr">
        <is>
          <t>42</t>
        </is>
      </c>
      <c r="B42" s="3" t="inlineStr">
        <is>
          <t>EVIDENCE_REPOSITORY</t>
        </is>
      </c>
      <c r="C42" s="3" t="inlineStr">
        <is>
          <t>Assessment Results</t>
        </is>
      </c>
      <c r="D42" s="3" t="inlineStr">
        <is>
          <t>assessment-results.result.finding.relevant-evidence.link.href</t>
        </is>
      </c>
      <c r="E42" s="3" t="inlineStr">
        <is>
          <t>Direct</t>
        </is>
      </c>
      <c r="F42" s="3" t="inlineStr">
        <is>
          <t>Link to evidence repository</t>
        </is>
      </c>
      <c r="G42" s="3" t="inlineStr">
        <is>
          <t>Single</t>
        </is>
      </c>
      <c r="H42" s="3" t="inlineStr">
        <is>
          <t>VARCHAR</t>
        </is>
      </c>
      <c r="I42" s="3" t="inlineStr">
        <is>
          <t>CORE TEXT CAPTURED</t>
        </is>
      </c>
      <c r="J42" s="3" t="inlineStr"/>
      <c r="K42" s="3" t="inlineStr">
        <is>
          <t>S03 + S04</t>
        </is>
      </c>
      <c r="L42" s="3" t="inlineStr">
        <is>
          <t>Inspect populated rows first.</t>
        </is>
      </c>
      <c r="M42" s="3" t="inlineStr">
        <is>
          <t>uri/reference (pending)</t>
        </is>
      </c>
      <c r="N42" s="5" t="inlineStr">
        <is>
          <t>DEFERRED - SOURCE SHAPE</t>
        </is>
      </c>
      <c r="O42" s="3" t="inlineStr"/>
      <c r="P42" s="3" t="inlineStr"/>
      <c r="Q42" s="3" t="inlineStr">
        <is>
          <t>Need populated value shape and evidence-resource identity before creating Assessment Results links.</t>
        </is>
      </c>
      <c r="R42" s="3" t="inlineStr">
        <is>
          <t>Populated shape not established in supplied sample.</t>
        </is>
      </c>
      <c r="S42" s="3" t="inlineStr">
        <is>
          <t>https://github.com/theenduser009/Oscal-mapping-strategy/blob/simplify-metadata-boundary/questions/SME_OPEN_QUESTIONS.md</t>
        </is>
      </c>
    </row>
    <row r="43">
      <c r="A43" s="3" t="inlineStr">
        <is>
          <t>43</t>
        </is>
      </c>
      <c r="B43" s="3" t="inlineStr">
        <is>
          <t>EFFECTIVE_DATE</t>
        </is>
      </c>
      <c r="C43" s="3" t="inlineStr">
        <is>
          <t>Catalog - Metadata</t>
        </is>
      </c>
      <c r="D43" s="3" t="inlineStr">
        <is>
          <t>catalog.metadata.prop[@name='effective-date']</t>
        </is>
      </c>
      <c r="E43" s="3" t="inlineStr">
        <is>
          <t>Transform</t>
        </is>
      </c>
      <c r="F43" s="3" t="inlineStr">
        <is>
          <t>Date source becomes effective; convert to DateDatatype</t>
        </is>
      </c>
      <c r="G43" s="3" t="inlineStr">
        <is>
          <t>Single</t>
        </is>
      </c>
      <c r="H43" s="3" t="inlineStr">
        <is>
          <t>TIMESTAMP</t>
        </is>
      </c>
      <c r="I43" s="3" t="inlineStr">
        <is>
          <t>CORE TEXT CAPTURED</t>
        </is>
      </c>
      <c r="J43" s="3" t="inlineStr"/>
      <c r="K43" s="3" t="inlineStr">
        <is>
          <t>S03 + S04</t>
        </is>
      </c>
      <c r="L43" s="3" t="inlineStr">
        <is>
          <t>Convert valid ISO timestamp/date to YYYY-MM-DD property value.</t>
        </is>
      </c>
      <c r="M43" s="3" t="inlineStr">
        <is>
          <t>property value: string (date lexical)</t>
        </is>
      </c>
      <c r="N43" s="4" t="inlineStr">
        <is>
          <t>READY IF POPULATED</t>
        </is>
      </c>
      <c r="O43" s="3" t="inlineStr">
        <is>
          <t>date</t>
        </is>
      </c>
      <c r="P43" s="3" t="inlineStr">
        <is>
          <t>catalog.metadata.props[]</t>
        </is>
      </c>
      <c r="Q43" s="3" t="inlineStr">
        <is>
          <t>Preserve the source effective calendar date as property name effective-date. This is source provenance, not OSCAL document publication time.</t>
        </is>
      </c>
      <c r="R43" s="3" t="inlineStr">
        <is>
          <t>Null in supplied sample; workbook declares TIMESTAMP.</t>
        </is>
      </c>
      <c r="S43" s="3" t="inlineStr">
        <is>
          <t>https://pages.nist.gov/OSCAL/learn/tutorials/general/metadata/</t>
        </is>
      </c>
    </row>
    <row r="44">
      <c r="A44" s="3" t="inlineStr">
        <is>
          <t>44</t>
        </is>
      </c>
      <c r="B44" s="3" t="inlineStr">
        <is>
          <t>OFFICIAL_RETIREMENT_DATE</t>
        </is>
      </c>
      <c r="C44" s="3" t="inlineStr">
        <is>
          <t>Catalog - Metadata</t>
        </is>
      </c>
      <c r="D44" s="3" t="inlineStr">
        <is>
          <t>catalog.metadata.prop[@name='retirement-date']</t>
        </is>
      </c>
      <c r="E44" s="3" t="inlineStr">
        <is>
          <t>Transform</t>
        </is>
      </c>
      <c r="F44" s="3" t="inlineStr">
        <is>
          <t>Official date source is retired; convert to DateDatatype</t>
        </is>
      </c>
      <c r="G44" s="3" t="inlineStr">
        <is>
          <t>Single</t>
        </is>
      </c>
      <c r="H44" s="3" t="inlineStr">
        <is>
          <t>TIMESTAMP</t>
        </is>
      </c>
      <c r="I44" s="3" t="inlineStr">
        <is>
          <t>CORE TEXT CAPTURED</t>
        </is>
      </c>
      <c r="J44" s="3" t="inlineStr"/>
      <c r="K44" s="3" t="inlineStr">
        <is>
          <t>S03 + S04</t>
        </is>
      </c>
      <c r="L44" s="3" t="inlineStr">
        <is>
          <t>Convert to YYYY-MM-DD; property name='retirement-date'.</t>
        </is>
      </c>
      <c r="M44" s="3" t="inlineStr">
        <is>
          <t>property value: string (date lexical)</t>
        </is>
      </c>
      <c r="N44" s="4" t="inlineStr">
        <is>
          <t>READY - RUNTIME ENHANCEMENT</t>
        </is>
      </c>
      <c r="O44" s="3" t="inlineStr">
        <is>
          <t>date</t>
        </is>
      </c>
      <c r="P44" s="3" t="inlineStr">
        <is>
          <t>catalog.metadata.props[]</t>
        </is>
      </c>
      <c r="Q44" s="3" t="inlineStr">
        <is>
          <t>Preserve source retirement date as property name retirement-date. Exact name requires property-name override.</t>
        </is>
      </c>
      <c r="R44" s="3" t="inlineStr">
        <is>
          <t>Null in supplied sample; workbook declares TIMESTAMP.</t>
        </is>
      </c>
      <c r="S44" s="3" t="inlineStr">
        <is>
          <t>https://pages.nist.gov/OSCAL/learn/tutorials/general/metadata/</t>
        </is>
      </c>
    </row>
    <row r="45">
      <c r="A45" s="3" t="inlineStr">
        <is>
          <t>45</t>
        </is>
      </c>
      <c r="B45" s="3" t="inlineStr">
        <is>
          <t>RTX_RETIREMENT_DATE</t>
        </is>
      </c>
      <c r="C45" s="3" t="inlineStr">
        <is>
          <t>Catalog - Metadata</t>
        </is>
      </c>
      <c r="D45" s="3" t="inlineStr">
        <is>
          <t>catalog.metadata.prop[@name='rtx-retirement-date']</t>
        </is>
      </c>
      <c r="E45" s="3" t="inlineStr">
        <is>
          <t>Transform</t>
        </is>
      </c>
      <c r="F45" s="3" t="inlineStr">
        <is>
          <t>Organization-specific retirement date; convert to DateDatatype</t>
        </is>
      </c>
      <c r="G45" s="3" t="inlineStr">
        <is>
          <t>Single</t>
        </is>
      </c>
      <c r="H45" s="3" t="inlineStr">
        <is>
          <t>TIMESTAMP</t>
        </is>
      </c>
      <c r="I45" s="3" t="inlineStr">
        <is>
          <t>CORE TEXT CAPTURED</t>
        </is>
      </c>
      <c r="J45" s="3" t="inlineStr"/>
      <c r="K45" s="3" t="inlineStr">
        <is>
          <t>S03 + S04</t>
        </is>
      </c>
      <c r="L45" s="3" t="inlineStr">
        <is>
          <t>Convert to YYYY-MM-DD property value.</t>
        </is>
      </c>
      <c r="M45" s="3" t="inlineStr">
        <is>
          <t>property value: string (date lexical)</t>
        </is>
      </c>
      <c r="N45" s="4" t="inlineStr">
        <is>
          <t>READY IF POPULATED</t>
        </is>
      </c>
      <c r="O45" s="3" t="inlineStr">
        <is>
          <t>date</t>
        </is>
      </c>
      <c r="P45" s="3" t="inlineStr">
        <is>
          <t>catalog.metadata.props[]</t>
        </is>
      </c>
      <c r="Q45" s="3" t="inlineStr">
        <is>
          <t>Preserve organization-specific retirement date as property name rtx-retirement-date.</t>
        </is>
      </c>
      <c r="R45" s="3" t="inlineStr">
        <is>
          <t>Null in supplied sample; workbook declares TIMESTAMP.</t>
        </is>
      </c>
      <c r="S45" s="3" t="inlineStr">
        <is>
          <t>https://pages.nist.gov/OSCAL/learn/tutorials/general/metadata/</t>
        </is>
      </c>
    </row>
    <row r="46">
      <c r="A46" s="3" t="inlineStr">
        <is>
          <t>46</t>
        </is>
      </c>
      <c r="B46" s="3" t="inlineStr">
        <is>
          <t>DATE_CREATED</t>
        </is>
      </c>
      <c r="C46" s="3" t="inlineStr">
        <is>
          <t>Catalog - Metadata</t>
        </is>
      </c>
      <c r="D46" s="3" t="inlineStr">
        <is>
          <t>catalog.metadata.published</t>
        </is>
      </c>
      <c r="E46" s="3" t="inlineStr">
        <is>
          <t>Transform</t>
        </is>
      </c>
      <c r="F46" s="3" t="inlineStr">
        <is>
          <t>Initial creation date; convert to DateTimeWithTimezoneDatatype</t>
        </is>
      </c>
      <c r="G46" s="3" t="inlineStr">
        <is>
          <t>Single</t>
        </is>
      </c>
      <c r="H46" s="3" t="inlineStr">
        <is>
          <t>TIMESTAMP</t>
        </is>
      </c>
      <c r="I46" s="3" t="inlineStr">
        <is>
          <t>CORE TEXT CAPTURED</t>
        </is>
      </c>
      <c r="J46" s="3" t="inlineStr"/>
      <c r="K46" s="3" t="inlineStr">
        <is>
          <t>S03 + S04</t>
        </is>
      </c>
      <c r="L46" s="3" t="inlineStr">
        <is>
          <t>Candidate provenance property; do not use catalog.metadata.published automatically.</t>
        </is>
      </c>
      <c r="M46" s="3" t="inlineStr">
        <is>
          <t>date-time provenance (pending)</t>
        </is>
      </c>
      <c r="N46" s="6" t="inlineStr">
        <is>
          <t>REMAP REQUIRED</t>
        </is>
      </c>
      <c r="O46" s="3" t="inlineStr"/>
      <c r="P46" s="3" t="inlineStr"/>
      <c r="Q46" s="3" t="inlineStr">
        <is>
          <t>NIST metadata.published describes publication of the OSCAL document instance, not the source material. Preserve Archer creation time separately unless SME explicitly defines document semantics.</t>
        </is>
      </c>
      <c r="R46" s="3" t="inlineStr">
        <is>
          <t>Timestamp-like string without timezone suffix in supplied sample.</t>
        </is>
      </c>
      <c r="S46" s="3" t="inlineStr">
        <is>
          <t>https://pages.nist.gov/OSCAL/learn/tutorials/general/metadata/</t>
        </is>
      </c>
    </row>
    <row r="47">
      <c r="A47" s="3" t="inlineStr">
        <is>
          <t>47</t>
        </is>
      </c>
      <c r="B47" s="3" t="inlineStr">
        <is>
          <t>LAST_UPDATED</t>
        </is>
      </c>
      <c r="C47" s="3" t="inlineStr">
        <is>
          <t>Catalog - Metadata</t>
        </is>
      </c>
      <c r="D47" s="3" t="inlineStr">
        <is>
          <t>catalog.metadata.last-modified</t>
        </is>
      </c>
      <c r="E47" s="3" t="inlineStr">
        <is>
          <t>Transform</t>
        </is>
      </c>
      <c r="F47" s="3" t="inlineStr">
        <is>
          <t>Last modification date; convert to DateTimeWithTimezoneDatatype</t>
        </is>
      </c>
      <c r="G47" s="3" t="inlineStr">
        <is>
          <t>Single</t>
        </is>
      </c>
      <c r="H47" s="3" t="inlineStr">
        <is>
          <t>TIMESTAMP</t>
        </is>
      </c>
      <c r="I47" s="3" t="inlineStr">
        <is>
          <t>CORE TEXT CAPTURED</t>
        </is>
      </c>
      <c r="J47" s="3" t="inlineStr"/>
      <c r="K47" s="3" t="inlineStr">
        <is>
          <t>S03 + S04</t>
        </is>
      </c>
      <c r="L47" s="3" t="inlineStr">
        <is>
          <t>Candidate provenance property; generated OSCAL last-modified should follow document-generation semantics.</t>
        </is>
      </c>
      <c r="M47" s="3" t="inlineStr">
        <is>
          <t>date-time-with-timezone required for native metadata</t>
        </is>
      </c>
      <c r="N47" s="6" t="inlineStr">
        <is>
          <t>REMAP REQUIRED</t>
        </is>
      </c>
      <c r="O47" s="3" t="inlineStr"/>
      <c r="P47" s="3" t="inlineStr"/>
      <c r="Q47" s="3" t="inlineStr">
        <is>
          <t>NIST metadata.last-modified describes the OSCAL document instance state. Do not automatically substitute the Archer source record update time.</t>
        </is>
      </c>
      <c r="R47" s="3" t="inlineStr">
        <is>
          <t>Timestamp-like string without timezone suffix in supplied sample.</t>
        </is>
      </c>
      <c r="S47" s="3" t="inlineStr">
        <is>
          <t>https://pages.nist.gov/OSCAL/learn/tutorials/general/metadata/</t>
        </is>
      </c>
    </row>
    <row r="48">
      <c r="A48" s="3" t="inlineStr">
        <is>
          <t>48</t>
        </is>
      </c>
      <c r="B48" s="3" t="inlineStr">
        <is>
          <t>ARCHER_CONTENT_AUTHORITATIVE_SOURCES_SOURCE_FIRST_PUBLISHED</t>
        </is>
      </c>
      <c r="C48" s="3" t="inlineStr">
        <is>
          <t>Catalog - Metadata</t>
        </is>
      </c>
      <c r="D48" s="3" t="inlineStr">
        <is>
          <t>catalog.metadata.published</t>
        </is>
      </c>
      <c r="E48" s="3" t="inlineStr">
        <is>
          <t>Transform</t>
        </is>
      </c>
      <c r="F48" s="3" t="inlineStr">
        <is>
          <t>First publication in Archer; convert to DateTimeWithTimezoneDatatype</t>
        </is>
      </c>
      <c r="G48" s="3" t="inlineStr">
        <is>
          <t>Single</t>
        </is>
      </c>
      <c r="H48" s="3" t="inlineStr">
        <is>
          <t>TIMESTAMP</t>
        </is>
      </c>
      <c r="I48" s="3" t="inlineStr">
        <is>
          <t>CORE TEXT CAPTURED</t>
        </is>
      </c>
      <c r="J48" s="3" t="inlineStr"/>
      <c r="K48" s="3" t="inlineStr">
        <is>
          <t>S03 + S04</t>
        </is>
      </c>
      <c r="L48" s="3" t="inlineStr">
        <is>
          <t>Verify whether this is a RAW column, wide-table alias, derived field, or absent.</t>
        </is>
      </c>
      <c r="M48" s="3" t="inlineStr">
        <is>
          <t>pending</t>
        </is>
      </c>
      <c r="N48" s="5" t="inlineStr">
        <is>
          <t>DEFERRED - SOURCE LOCATION</t>
        </is>
      </c>
      <c r="O48" s="3" t="inlineStr"/>
      <c r="P48" s="3" t="inlineStr"/>
      <c r="Q48" s="3" t="inlineStr">
        <is>
          <t>This long prefixed field was not demonstrated as a CURATED_JSON key in the supplied sample, and native published semantics still need resolution.</t>
        </is>
      </c>
      <c r="R48" s="3" t="inlineStr">
        <is>
          <t>Not observed as a CURATED_JSON key in supplied sample.</t>
        </is>
      </c>
      <c r="S48" s="3" t="inlineStr">
        <is>
          <t>https://github.com/theenduser009/Oscal-mapping-strategy/blob/simplify-metadata-boundary/questions/SME_OPEN_QUESTIONS.md</t>
        </is>
      </c>
    </row>
    <row r="49">
      <c r="A49" s="3" t="inlineStr">
        <is>
          <t>49</t>
        </is>
      </c>
      <c r="B49" s="3" t="inlineStr">
        <is>
          <t>ARCHER_CONTENT_AUTHORITATIVE_SOURCES_SOURCE_LAST_UPDATED</t>
        </is>
      </c>
      <c r="C49" s="3" t="inlineStr">
        <is>
          <t>Catalog - Metadata</t>
        </is>
      </c>
      <c r="D49" s="3" t="inlineStr">
        <is>
          <t>catalog.metadata.last-modified</t>
        </is>
      </c>
      <c r="E49" s="3" t="inlineStr">
        <is>
          <t>Transform</t>
        </is>
      </c>
      <c r="F49" s="3" t="inlineStr">
        <is>
          <t>Last update in Archer; convert to DateTimeWithTimezoneDatatype</t>
        </is>
      </c>
      <c r="G49" s="3" t="inlineStr">
        <is>
          <t>Single</t>
        </is>
      </c>
      <c r="H49" s="3" t="inlineStr">
        <is>
          <t>TIMESTAMP</t>
        </is>
      </c>
      <c r="I49" s="3" t="inlineStr">
        <is>
          <t>CORE TEXT CAPTURED</t>
        </is>
      </c>
      <c r="J49" s="3" t="inlineStr"/>
      <c r="K49" s="3" t="inlineStr">
        <is>
          <t>S03 + S04</t>
        </is>
      </c>
      <c r="L49" s="3" t="inlineStr">
        <is>
          <t>Verify source location and semantics before runtime mapping.</t>
        </is>
      </c>
      <c r="M49" s="3" t="inlineStr">
        <is>
          <t>pending</t>
        </is>
      </c>
      <c r="N49" s="5" t="inlineStr">
        <is>
          <t>DEFERRED - SOURCE LOCATION</t>
        </is>
      </c>
      <c r="O49" s="3" t="inlineStr"/>
      <c r="P49" s="3" t="inlineStr"/>
      <c r="Q49" s="3" t="inlineStr">
        <is>
          <t>This long prefixed field was not demonstrated as a CURATED_JSON key; native last-modified semantics also remain unresolved.</t>
        </is>
      </c>
      <c r="R49" s="3" t="inlineStr">
        <is>
          <t>Not observed as a CURATED_JSON key in supplied sample.</t>
        </is>
      </c>
      <c r="S49" s="3" t="inlineStr">
        <is>
          <t>https://github.com/theenduser009/Oscal-mapping-strategy/blob/simplify-metadata-boundary/questions/SME_OPEN_QUESTIONS.md</t>
        </is>
      </c>
    </row>
    <row r="50">
      <c r="A50" s="3" t="inlineStr">
        <is>
          <t>50</t>
        </is>
      </c>
      <c r="B50" s="3" t="inlineStr">
        <is>
          <t>ARCHER_CONTENT_AUTHORITATIVE_SOURCES_SOURCE_CONFIRMED_IN_ARCHER</t>
        </is>
      </c>
      <c r="C50" s="3" t="inlineStr">
        <is>
          <t>Catalog - Metadata</t>
        </is>
      </c>
      <c r="D50" s="3" t="inlineStr">
        <is>
          <t>catalog.metadata.prop[@name='confirmed-date']</t>
        </is>
      </c>
      <c r="E50" s="3" t="inlineStr">
        <is>
          <t>Transform</t>
        </is>
      </c>
      <c r="F50" s="3" t="inlineStr">
        <is>
          <t>Confirmation/verification date; convert to DateTimeWithTimezoneDatatype</t>
        </is>
      </c>
      <c r="G50" s="3" t="inlineStr">
        <is>
          <t>Single</t>
        </is>
      </c>
      <c r="H50" s="3" t="inlineStr">
        <is>
          <t>TIMESTAMP</t>
        </is>
      </c>
      <c r="I50" s="3" t="inlineStr">
        <is>
          <t>CORE TEXT CAPTURED</t>
        </is>
      </c>
      <c r="J50" s="3" t="inlineStr"/>
      <c r="K50" s="3" t="inlineStr">
        <is>
          <t>S03 + S04</t>
        </is>
      </c>
      <c r="L50" s="3" t="inlineStr">
        <is>
          <t>Verify source location; then preserve as source confirmation property if approved.</t>
        </is>
      </c>
      <c r="M50" s="3" t="inlineStr">
        <is>
          <t>property value: string/date-time (pending)</t>
        </is>
      </c>
      <c r="N50" s="5" t="inlineStr">
        <is>
          <t>DEFERRED - SOURCE LOCATION</t>
        </is>
      </c>
      <c r="O50" s="3" t="inlineStr"/>
      <c r="P50" s="3" t="inlineStr"/>
      <c r="Q50" s="3" t="inlineStr">
        <is>
          <t>Field was not demonstrated in CURATED_JSON. If verified, it is source provenance and property name confirmed-date would need explicit naming support.</t>
        </is>
      </c>
      <c r="R50" s="3" t="inlineStr">
        <is>
          <t>Not observed as a CURATED_JSON key in supplied sample.</t>
        </is>
      </c>
      <c r="S50" s="3" t="inlineStr">
        <is>
          <t>https://github.com/theenduser009/Oscal-mapping-strategy/blob/simplify-metadata-boundary/questions/SME_OPEN_QUESTIONS.md</t>
        </is>
      </c>
    </row>
    <row r="51">
      <c r="A51" s="3" t="inlineStr">
        <is>
          <t>51</t>
        </is>
      </c>
      <c r="B51" s="3" t="inlineStr">
        <is>
          <t>RECORD_STATUS</t>
        </is>
      </c>
      <c r="C51" s="3" t="inlineStr">
        <is>
          <t>Catalog - Metadata</t>
        </is>
      </c>
      <c r="D51" s="3" t="inlineStr">
        <is>
          <t>catalog.metadata.prop[@name='record-status']</t>
        </is>
      </c>
      <c r="E51" s="3" t="inlineStr">
        <is>
          <t>Extension Property</t>
        </is>
      </c>
      <c r="F51" s="3" t="inlineStr">
        <is>
          <t>Status of the record (active, archived, etc.)</t>
        </is>
      </c>
      <c r="G51" s="3" t="inlineStr">
        <is>
          <t>Single</t>
        </is>
      </c>
      <c r="H51" s="3" t="inlineStr">
        <is>
          <t>VARCHAR</t>
        </is>
      </c>
      <c r="I51" s="3" t="inlineStr">
        <is>
          <t>CORE TEXT CAPTURED</t>
        </is>
      </c>
      <c r="J51" s="3" t="inlineStr"/>
      <c r="K51" s="3" t="inlineStr">
        <is>
          <t>S03 + S04</t>
        </is>
      </c>
      <c r="L51" s="3" t="inlineStr">
        <is>
          <t>Resolve scalar ID through ARCHER_META_VALUE when available; preserve label as property value.</t>
        </is>
      </c>
      <c r="M51" s="3" t="inlineStr">
        <is>
          <t>property value: string</t>
        </is>
      </c>
      <c r="N51" s="4" t="inlineStr">
        <is>
          <t>READY - LOOKUP</t>
        </is>
      </c>
      <c r="O51" s="3" t="inlineStr">
        <is>
          <t>archer-select</t>
        </is>
      </c>
      <c r="P51" s="3" t="inlineStr">
        <is>
          <t>catalog.metadata.props[]</t>
        </is>
      </c>
      <c r="Q51" s="3" t="inlineStr">
        <is>
          <t>Resolve the Archer status code through the existing select-value lookup and emit property name record-status.</t>
        </is>
      </c>
      <c r="R51" s="3" t="inlineStr">
        <is>
          <t>Numeric scalar code (2) in supplied sample.</t>
        </is>
      </c>
      <c r="S51" s="3" t="inlineStr">
        <is>
          <t>https://github.com/theenduser009/Oscal-mapping-strategy/blob/simplify-metadata-boundary/docs/checkpoints/2026-09-17-source2-source-curated-json-sample.md</t>
        </is>
      </c>
    </row>
    <row r="52">
      <c r="A52" s="3" t="inlineStr">
        <is>
          <t>52</t>
        </is>
      </c>
      <c r="B52" s="3" t="inlineStr">
        <is>
          <t>DEFAULT_RECORD_PERMISSIONS</t>
        </is>
      </c>
      <c r="C52" s="3" t="inlineStr">
        <is>
          <t>Catalog - Metadata</t>
        </is>
      </c>
      <c r="D52" s="3" t="inlineStr">
        <is>
          <t>catalog.metadata.role</t>
        </is>
      </c>
      <c r="E52" s="3" t="inlineStr">
        <is>
          <t>Extension Property</t>
        </is>
      </c>
      <c r="F52" s="3" t="inlineStr">
        <is>
          <t>Access control and permissions</t>
        </is>
      </c>
      <c r="G52" s="3" t="inlineStr">
        <is>
          <t>Multi (likely reference)</t>
        </is>
      </c>
      <c r="H52" s="3" t="inlineStr">
        <is>
          <t>VARCHAR</t>
        </is>
      </c>
      <c r="I52" s="3" t="inlineStr">
        <is>
          <t>CORE TEXT CAPTURED</t>
        </is>
      </c>
      <c r="J52" s="3" t="inlineStr"/>
      <c r="K52" s="3" t="inlineStr">
        <is>
          <t>S03 + S04</t>
        </is>
      </c>
      <c r="L52" s="3" t="inlineStr">
        <is>
          <t>Treat as source/security metadata unless a separate OSCAL role/party semantic contract is established.</t>
        </is>
      </c>
      <c r="M52" s="3" t="inlineStr">
        <is>
          <t>not a role as currently evidenced</t>
        </is>
      </c>
      <c r="N52" s="6" t="inlineStr">
        <is>
          <t>REMAP REQUIRED</t>
        </is>
      </c>
      <c r="O52" s="3" t="inlineStr"/>
      <c r="P52" s="3" t="inlineStr"/>
      <c r="Q52" s="3" t="inlineStr">
        <is>
          <t>Live source is a structured permission object (GroupList/UserList), not OSCAL role text. Do not map it to catalog.metadata.role.</t>
        </is>
      </c>
      <c r="R52" s="3" t="inlineStr">
        <is>
          <t>Structured object with GroupList permission flags/IDs and UserList.</t>
        </is>
      </c>
      <c r="S52" s="3" t="inlineStr">
        <is>
          <t>https://github.com/theenduser009/Oscal-mapping-strategy/blob/simplify-metadata-boundary/docs/checkpoints/2026-09-17-source2-source-curated-json-sample.md</t>
        </is>
      </c>
    </row>
    <row r="53">
      <c r="A53" s="3" t="inlineStr">
        <is>
          <t>53</t>
        </is>
      </c>
      <c r="B53" s="3" t="inlineStr">
        <is>
          <t>CONTENT_SOURCE</t>
        </is>
      </c>
      <c r="C53" s="3" t="inlineStr">
        <is>
          <t>Catalog - Metadata</t>
        </is>
      </c>
      <c r="D53" s="3" t="inlineStr">
        <is>
          <t>catalog.metadata.prop[@name='content-source']</t>
        </is>
      </c>
      <c r="E53" s="3" t="inlineStr">
        <is>
          <t>Extension Property</t>
        </is>
      </c>
      <c r="F53" s="3" t="inlineStr">
        <is>
          <t>Custom property indicating origin system</t>
        </is>
      </c>
      <c r="G53" s="3" t="inlineStr">
        <is>
          <t>Single</t>
        </is>
      </c>
      <c r="H53" s="3" t="inlineStr">
        <is>
          <t>VARCHAR</t>
        </is>
      </c>
      <c r="I53" s="3" t="inlineStr">
        <is>
          <t>CORE TEXT CAPTURED</t>
        </is>
      </c>
      <c r="J53" s="3" t="inlineStr"/>
      <c r="K53" s="3" t="inlineStr">
        <is>
          <t>S03 + S04</t>
        </is>
      </c>
      <c r="L53" s="3" t="inlineStr">
        <is>
          <t>Resolve select labels and emit string property value(s).</t>
        </is>
      </c>
      <c r="M53" s="3" t="inlineStr">
        <is>
          <t>property value: string</t>
        </is>
      </c>
      <c r="N53" s="4" t="inlineStr">
        <is>
          <t>READY - LOOKUP</t>
        </is>
      </c>
      <c r="O53" s="3" t="inlineStr">
        <is>
          <t>archer-select</t>
        </is>
      </c>
      <c r="P53" s="3" t="inlineStr">
        <is>
          <t>catalog.metadata.props[]</t>
        </is>
      </c>
      <c r="Q53" s="3" t="inlineStr">
        <is>
          <t>Resolve Archer ValuesListIds and emit property name content-source.</t>
        </is>
      </c>
      <c r="R53" s="3" t="inlineStr">
        <is>
          <t>Archer value-list object with ValuesListIds.</t>
        </is>
      </c>
      <c r="S53" s="3" t="inlineStr">
        <is>
          <t>https://github.com/theenduser009/Oscal-mapping-strategy/blob/simplify-metadata-boundary/docs/checkpoints/2026-09-17-source2-source-curated-json-sample.md</t>
        </is>
      </c>
    </row>
    <row r="54">
      <c r="A54" s="3" t="inlineStr">
        <is>
          <t>54</t>
        </is>
      </c>
      <c r="B54" s="3" t="inlineStr">
        <is>
          <t>INSERT_DATE</t>
        </is>
      </c>
      <c r="C54" s="3" t="inlineStr">
        <is>
          <t>N/A - System Metadata</t>
        </is>
      </c>
      <c r="D54" s="3" t="inlineStr"/>
      <c r="E54" s="3" t="inlineStr">
        <is>
          <t>System Metadata</t>
        </is>
      </c>
      <c r="F54" s="3" t="inlineStr">
        <is>
          <t>ETL/data warehouse field - not typically mapped to OSCAL</t>
        </is>
      </c>
      <c r="G54" s="3" t="inlineStr">
        <is>
          <t>Single</t>
        </is>
      </c>
      <c r="H54" s="3" t="inlineStr">
        <is>
          <t>TIMESTAMP</t>
        </is>
      </c>
      <c r="I54" s="3" t="inlineStr">
        <is>
          <t>CORE TEXT CAPTURED</t>
        </is>
      </c>
      <c r="J54" s="3" t="inlineStr"/>
      <c r="K54" s="3" t="inlineStr">
        <is>
          <t>S03 + S04</t>
        </is>
      </c>
      <c r="L54" s="3" t="inlineStr">
        <is>
          <t>Retain only in technical/audit metadata.</t>
        </is>
      </c>
      <c r="M54" s="3" t="inlineStr">
        <is>
          <t>N/A</t>
        </is>
      </c>
      <c r="N54" s="7" t="inlineStr">
        <is>
          <t>EXCLUDE FROM OSCAL</t>
        </is>
      </c>
      <c r="O54" s="3" t="inlineStr"/>
      <c r="P54" s="3" t="inlineStr"/>
      <c r="Q54" s="3" t="inlineStr">
        <is>
          <t>ETL/warehouse provenance field. Keep outside the OSCAL payload.</t>
        </is>
      </c>
      <c r="R54" s="3" t="inlineStr">
        <is>
          <t>Not demonstrated as business content in CURATED_JSON sample.</t>
        </is>
      </c>
      <c r="S54" s="3" t="inlineStr">
        <is>
          <t>https://github.com/theenduser009/Oscal-mapping-strategy/blob/simplify-metadata-boundary/docs/checkpoints/2026-09-17-source2-source-curated-json-sample.md</t>
        </is>
      </c>
    </row>
    <row r="55">
      <c r="A55" s="3" t="inlineStr">
        <is>
          <t>55</t>
        </is>
      </c>
      <c r="B55" s="3" t="inlineStr">
        <is>
          <t>UPDATE_DATE</t>
        </is>
      </c>
      <c r="C55" s="3" t="inlineStr">
        <is>
          <t>N/A - System Metadata</t>
        </is>
      </c>
      <c r="D55" s="3" t="inlineStr"/>
      <c r="E55" s="3" t="inlineStr">
        <is>
          <t>System Metadata</t>
        </is>
      </c>
      <c r="F55" s="3" t="inlineStr">
        <is>
          <t>ETL/data warehouse field - not typically mapped to OSCAL</t>
        </is>
      </c>
      <c r="G55" s="3" t="inlineStr">
        <is>
          <t>Single</t>
        </is>
      </c>
      <c r="H55" s="3" t="inlineStr">
        <is>
          <t>TIMESTAMP</t>
        </is>
      </c>
      <c r="I55" s="3" t="inlineStr">
        <is>
          <t>CORE TEXT CAPTURED</t>
        </is>
      </c>
      <c r="J55" s="3" t="inlineStr"/>
      <c r="K55" s="3" t="inlineStr">
        <is>
          <t>S03 + S04</t>
        </is>
      </c>
      <c r="L55" s="3" t="inlineStr">
        <is>
          <t>Retain only in technical/audit metadata.</t>
        </is>
      </c>
      <c r="M55" s="3" t="inlineStr">
        <is>
          <t>N/A</t>
        </is>
      </c>
      <c r="N55" s="7" t="inlineStr">
        <is>
          <t>EXCLUDE FROM OSCAL</t>
        </is>
      </c>
      <c r="O55" s="3" t="inlineStr"/>
      <c r="P55" s="3" t="inlineStr"/>
      <c r="Q55" s="3" t="inlineStr">
        <is>
          <t>ETL/warehouse provenance field. Keep outside the OSCAL payload.</t>
        </is>
      </c>
      <c r="R55" s="3" t="inlineStr">
        <is>
          <t>Not demonstrated as business content in CURATED_JSON sample.</t>
        </is>
      </c>
      <c r="S55" s="3" t="inlineStr">
        <is>
          <t>https://github.com/theenduser009/Oscal-mapping-strategy/blob/simplify-metadata-boundary/docs/checkpoints/2026-09-17-source2-source-curated-json-sample.md</t>
        </is>
      </c>
    </row>
    <row r="56">
      <c r="A56" s="3" t="inlineStr">
        <is>
          <t>56</t>
        </is>
      </c>
      <c r="B56" s="3" t="inlineStr">
        <is>
          <t>CHECKSUM_VALUE</t>
        </is>
      </c>
      <c r="C56" s="3" t="inlineStr">
        <is>
          <t>N/A - System Metadata</t>
        </is>
      </c>
      <c r="D56" s="3" t="inlineStr"/>
      <c r="E56" s="3" t="inlineStr">
        <is>
          <t>System Metadata</t>
        </is>
      </c>
      <c r="F56" s="3" t="inlineStr">
        <is>
          <t>Data integrity field - not typically mapped to OSCAL</t>
        </is>
      </c>
      <c r="G56" s="3" t="inlineStr">
        <is>
          <t>Single</t>
        </is>
      </c>
      <c r="H56" s="3" t="inlineStr">
        <is>
          <t>VARCHAR</t>
        </is>
      </c>
      <c r="I56" s="3" t="inlineStr">
        <is>
          <t>CORE TEXT CAPTURED</t>
        </is>
      </c>
      <c r="J56" s="3" t="inlineStr"/>
      <c r="K56" s="3" t="inlineStr">
        <is>
          <t>S03 + S04</t>
        </is>
      </c>
      <c r="L56" s="3" t="inlineStr">
        <is>
          <t>Retain only in technical/audit metadata.</t>
        </is>
      </c>
      <c r="M56" s="3" t="inlineStr">
        <is>
          <t>N/A</t>
        </is>
      </c>
      <c r="N56" s="7" t="inlineStr">
        <is>
          <t>EXCLUDE FROM OSCAL</t>
        </is>
      </c>
      <c r="O56" s="3" t="inlineStr"/>
      <c r="P56" s="3" t="inlineStr"/>
      <c r="Q56" s="3" t="inlineStr">
        <is>
          <t>Warehouse/data-integrity field. Keep outside the OSCAL payload unless a separate provenance design is approved.</t>
        </is>
      </c>
      <c r="R56" s="3" t="inlineStr">
        <is>
          <t>Not demonstrated as business content in CURATED_JSON sample.</t>
        </is>
      </c>
      <c r="S56" s="3" t="inlineStr">
        <is>
          <t>https://github.com/theenduser009/Oscal-mapping-strategy/blob/simplify-metadata-boundary/docs/checkpoints/2026-09-17-source2-source-curated-json-sample.md</t>
        </is>
      </c>
    </row>
    <row r="57">
      <c r="A57" s="3" t="inlineStr">
        <is>
          <t>57</t>
        </is>
      </c>
      <c r="B57" s="3" t="inlineStr">
        <is>
          <t>ARCHER_CONTENT_AUTHORITATIVE_SOURCES_SOURCE_CONTENT_ID</t>
        </is>
      </c>
      <c r="C57" s="3" t="inlineStr">
        <is>
          <t>Catalog - Metadata</t>
        </is>
      </c>
      <c r="D57" s="3" t="inlineStr">
        <is>
          <t>catalog.metadata.prop[@name='archer-content-id']</t>
        </is>
      </c>
      <c r="E57" s="3" t="inlineStr">
        <is>
          <t>Extension Property</t>
        </is>
      </c>
      <c r="F57" s="3" t="inlineStr">
        <is>
          <t>Original Archer content identifier for reference and traceability</t>
        </is>
      </c>
      <c r="G57" s="3" t="inlineStr">
        <is>
          <t>Single</t>
        </is>
      </c>
      <c r="H57" s="3" t="inlineStr">
        <is>
          <t>DECIMAL</t>
        </is>
      </c>
      <c r="I57" s="3" t="inlineStr">
        <is>
          <t>CORE TEXT CAPTURED</t>
        </is>
      </c>
      <c r="J57" s="3" t="inlineStr"/>
      <c r="K57" s="3" t="inlineStr">
        <is>
          <t>S03 + S04</t>
        </is>
      </c>
      <c r="L57" s="3" t="inlineStr">
        <is>
          <t>If OSCAL property is required, add a governed SOURCE_RECORD_ID value source plus explicit property name; otherwise rely on warehouse SOURCE_RECORD_ID.</t>
        </is>
      </c>
      <c r="M57" s="3" t="inlineStr">
        <is>
          <t>property value: string (optional)</t>
        </is>
      </c>
      <c r="N57" s="5" t="inlineStr">
        <is>
          <t>DEFERRED - RUNTIME DESIGN</t>
        </is>
      </c>
      <c r="O57" s="3" t="inlineStr"/>
      <c r="P57" s="3" t="inlineStr"/>
      <c r="Q57" s="3" t="inlineStr">
        <is>
          <t>The authoritative identity is already verified as RAW column CONTENT_ID and stored as SOURCE_RECORD_ID in DIM. Decide whether duplicating it inside OSCAL as archer-content-id is required.</t>
        </is>
      </c>
      <c r="R57" s="3" t="inlineStr">
        <is>
          <t>RAW CONTENT_ID is TEXT and unique across 148 rows; long prefixed JSON key not observed.</t>
        </is>
      </c>
      <c r="S57" s="3" t="inlineStr">
        <is>
          <t>https://github.com/theenduser009/Oscal-mapping-strategy/blob/simplify-metadata-boundary/questions/SME_OPEN_QUESTIONS.md</t>
        </is>
      </c>
    </row>
  </sheetData>
  <autoFilter ref="A1:S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46" customWidth="1" min="4" max="4"/>
    <col width="20" customWidth="1" min="5" max="5"/>
    <col width="44" customWidth="1" min="6" max="6"/>
    <col width="20" customWidth="1" min="7" max="7"/>
    <col width="18" customWidth="1" min="8" max="8"/>
    <col width="22" customWidth="1" min="9" max="9"/>
    <col width="34" customWidth="1" min="10" max="10"/>
    <col width="18" customWidth="1" min="11" max="11"/>
    <col width="36" customWidth="1" min="12" max="12"/>
    <col width="24" customWidth="1" min="13" max="13"/>
  </cols>
  <sheetData>
    <row r="1">
      <c r="A1" s="1" t="inlineStr">
        <is>
          <t>Worksheet row</t>
        </is>
      </c>
      <c r="B1" s="1" t="inlineStr">
        <is>
          <t>Archer field name</t>
        </is>
      </c>
      <c r="C1" s="1" t="inlineStr">
        <is>
          <t>OSCAL model</t>
        </is>
      </c>
      <c r="D1" s="1" t="inlineStr">
        <is>
          <t>OSCAL element path</t>
        </is>
      </c>
      <c r="E1" s="1" t="inlineStr">
        <is>
          <t>Mapping type</t>
        </is>
      </c>
      <c r="F1" s="1" t="inlineStr">
        <is>
          <t>Original Notes</t>
        </is>
      </c>
      <c r="G1" s="1" t="inlineStr">
        <is>
          <t>Cardinality</t>
        </is>
      </c>
      <c r="H1" s="1" t="inlineStr">
        <is>
          <t>Archer data type</t>
        </is>
      </c>
      <c r="I1" s="1" t="inlineStr">
        <is>
          <t>Transcription status</t>
        </is>
      </c>
      <c r="J1" s="1" t="inlineStr">
        <is>
          <t>Clarification needed</t>
        </is>
      </c>
      <c r="K1" s="1" t="inlineStr">
        <is>
          <t>Evidence</t>
        </is>
      </c>
      <c r="L1" s="1" t="inlineStr">
        <is>
          <t>Transformation logic</t>
        </is>
      </c>
      <c r="M1" s="1" t="inlineStr">
        <is>
          <t>OSCAL data type</t>
        </is>
      </c>
    </row>
    <row r="2">
      <c r="A2" s="3" t="inlineStr">
        <is>
          <t>2</t>
        </is>
      </c>
      <c r="B2" s="3" t="inlineStr">
        <is>
          <t>TOPIC_NAME</t>
        </is>
      </c>
      <c r="C2" s="3" t="inlineStr">
        <is>
          <t>Catalog - Group</t>
        </is>
      </c>
      <c r="D2" s="3" t="inlineStr">
        <is>
          <t>catalog.group[@id].title</t>
        </is>
      </c>
      <c r="E2" s="3" t="inlineStr">
        <is>
          <t>Direct</t>
        </is>
      </c>
      <c r="F2" s="3" t="inlineStr">
        <is>
          <t>Title of the topic (group)</t>
        </is>
      </c>
      <c r="G2" s="3" t="inlineStr">
        <is>
          <t>Single</t>
        </is>
      </c>
      <c r="H2" s="3" t="inlineStr">
        <is>
          <t>VARCHAR</t>
        </is>
      </c>
      <c r="I2" s="3" t="inlineStr">
        <is>
          <t>CORE TEXT CAPTURED</t>
        </is>
      </c>
      <c r="J2" s="3" t="inlineStr"/>
      <c r="K2" s="3" t="inlineStr">
        <is>
          <t>T01 + T03</t>
        </is>
      </c>
      <c r="L2" s="3" t="inlineStr"/>
      <c r="M2" s="3" t="inlineStr"/>
    </row>
    <row r="3">
      <c r="A3" s="3" t="inlineStr">
        <is>
          <t>3</t>
        </is>
      </c>
      <c r="B3" s="3" t="inlineStr">
        <is>
          <t>TOPIC_ID</t>
        </is>
      </c>
      <c r="C3" s="3" t="inlineStr">
        <is>
          <t>Catalog - Group</t>
        </is>
      </c>
      <c r="D3" s="3" t="inlineStr">
        <is>
          <t>catalog.group.@id</t>
        </is>
      </c>
      <c r="E3" s="3" t="inlineStr">
        <is>
          <t>Transform</t>
        </is>
      </c>
      <c r="F3" s="3" t="inlineStr">
        <is>
          <t>Group identifier; normalize to a valid OSCAL token</t>
        </is>
      </c>
      <c r="G3" s="3" t="inlineStr">
        <is>
          <t>Single</t>
        </is>
      </c>
      <c r="H3" s="3" t="inlineStr">
        <is>
          <t>VARCHAR</t>
        </is>
      </c>
      <c r="I3" s="3" t="inlineStr">
        <is>
          <t>CORE TEXT CAPTURED</t>
        </is>
      </c>
      <c r="J3" s="3" t="inlineStr"/>
      <c r="K3" s="3" t="inlineStr">
        <is>
          <t>T01 + T03</t>
        </is>
      </c>
      <c r="L3" s="3" t="inlineStr"/>
      <c r="M3" s="3" t="inlineStr"/>
    </row>
    <row r="4">
      <c r="A4" s="3" t="inlineStr">
        <is>
          <t>4</t>
        </is>
      </c>
      <c r="B4" s="3" t="inlineStr">
        <is>
          <t>TOPIC_TRACKING_ID</t>
        </is>
      </c>
      <c r="C4" s="3" t="inlineStr">
        <is>
          <t>Catalog - Group</t>
        </is>
      </c>
      <c r="D4" s="3" t="inlineStr">
        <is>
          <t>catalog.group.prop[@name='tracking-id']</t>
        </is>
      </c>
      <c r="E4" s="3" t="inlineStr">
        <is>
          <t>Extension Property</t>
        </is>
      </c>
      <c r="F4" s="3" t="inlineStr">
        <is>
          <t>Numeric tracking ID; store as property</t>
        </is>
      </c>
      <c r="G4" s="3" t="inlineStr">
        <is>
          <t>Single</t>
        </is>
      </c>
      <c r="H4" s="3" t="inlineStr">
        <is>
          <t>DECIMAL</t>
        </is>
      </c>
      <c r="I4" s="3" t="inlineStr">
        <is>
          <t>CORE TEXT CAPTURED</t>
        </is>
      </c>
      <c r="J4" s="3" t="inlineStr"/>
      <c r="K4" s="3" t="inlineStr">
        <is>
          <t>T01 + T03</t>
        </is>
      </c>
      <c r="L4" s="3" t="inlineStr"/>
      <c r="M4" s="3" t="inlineStr"/>
    </row>
    <row r="5">
      <c r="A5" s="3" t="inlineStr">
        <is>
          <t>5</t>
        </is>
      </c>
      <c r="B5" s="3" t="inlineStr">
        <is>
          <t>ARCHER_CONTENT_AUTHORITATIVE_SOURCES_TOPIC_CONTENT_ID</t>
        </is>
      </c>
      <c r="C5" s="3" t="inlineStr">
        <is>
          <t>Catalog - Group</t>
        </is>
      </c>
      <c r="D5" s="3" t="inlineStr">
        <is>
          <t>catalog.group.prop[@name='archer-content-id']</t>
        </is>
      </c>
      <c r="E5" s="3" t="inlineStr">
        <is>
          <t>Extension Property</t>
        </is>
      </c>
      <c r="F5" s="3" t="inlineStr">
        <is>
          <t>Original Archer content identifier for reference and traceabil[CLIPPED]</t>
        </is>
      </c>
      <c r="G5" s="3" t="inlineStr">
        <is>
          <t>Single</t>
        </is>
      </c>
      <c r="H5" s="3" t="inlineStr">
        <is>
          <t>DECIMAL</t>
        </is>
      </c>
      <c r="I5" s="3" t="inlineStr">
        <is>
          <t>NEEDS SOURCE TEXT</t>
        </is>
      </c>
      <c r="J5" s="3" t="inlineStr">
        <is>
          <t>Supply full source text: Original Notes.</t>
        </is>
      </c>
      <c r="K5" s="3" t="inlineStr">
        <is>
          <t>T01 + T03</t>
        </is>
      </c>
      <c r="L5" s="3" t="inlineStr"/>
      <c r="M5" s="3" t="inlineStr"/>
    </row>
    <row r="6">
      <c r="A6" s="3" t="inlineStr">
        <is>
          <t>6</t>
        </is>
      </c>
      <c r="B6" s="3" t="inlineStr">
        <is>
          <t>DOCUMENT_NUMBER</t>
        </is>
      </c>
      <c r="C6" s="3" t="inlineStr">
        <is>
          <t>Catalog - Group</t>
        </is>
      </c>
      <c r="D6" s="3" t="inlineStr">
        <is>
          <t>catalog.group.prop[@name='document-number[CLIPPED]</t>
        </is>
      </c>
      <c r="E6" s="3" t="inlineStr">
        <is>
          <t>Extension Property</t>
        </is>
      </c>
      <c r="F6" s="3" t="inlineStr">
        <is>
          <t>Source document number for the topic</t>
        </is>
      </c>
      <c r="G6" s="3" t="inlineStr">
        <is>
          <t>Single</t>
        </is>
      </c>
      <c r="H6" s="3" t="inlineStr">
        <is>
          <t>VARCHAR</t>
        </is>
      </c>
      <c r="I6" s="3" t="inlineStr">
        <is>
          <t>NEEDS SOURCE TEXT</t>
        </is>
      </c>
      <c r="J6" s="3" t="inlineStr">
        <is>
          <t>Supply full source text: OSCAL element path.</t>
        </is>
      </c>
      <c r="K6" s="3" t="inlineStr">
        <is>
          <t>T01 + T03</t>
        </is>
      </c>
      <c r="L6" s="3" t="inlineStr"/>
      <c r="M6" s="3" t="inlineStr"/>
    </row>
    <row r="7">
      <c r="A7" s="3" t="inlineStr">
        <is>
          <t>7</t>
        </is>
      </c>
      <c r="B7" s="3" t="inlineStr">
        <is>
          <t>SOURCE_NAME_CALC_FIELD</t>
        </is>
      </c>
      <c r="C7" s="3" t="inlineStr">
        <is>
          <t>Catalog - Metadata</t>
        </is>
      </c>
      <c r="D7" s="3" t="inlineStr">
        <is>
          <t>catalog.metadata.title</t>
        </is>
      </c>
      <c r="E7" s="3" t="inlineStr">
        <is>
          <t>Reference</t>
        </is>
      </c>
      <c r="F7" s="3" t="inlineStr">
        <is>
          <t>Calculated parent source (catalog) name</t>
        </is>
      </c>
      <c r="G7" s="3" t="inlineStr">
        <is>
          <t>Single</t>
        </is>
      </c>
      <c r="H7" s="3" t="inlineStr">
        <is>
          <t>VARCHAR</t>
        </is>
      </c>
      <c r="I7" s="3" t="inlineStr">
        <is>
          <t>CORE TEXT CAPTURED</t>
        </is>
      </c>
      <c r="J7" s="3" t="inlineStr"/>
      <c r="K7" s="3" t="inlineStr">
        <is>
          <t>T01 + T03</t>
        </is>
      </c>
      <c r="L7" s="3" t="inlineStr"/>
      <c r="M7" s="3" t="inlineStr"/>
    </row>
    <row r="8">
      <c r="A8" s="3" t="inlineStr">
        <is>
          <t>8</t>
        </is>
      </c>
      <c r="B8" s="3" t="inlineStr">
        <is>
          <t>CONTENT_SOURCE</t>
        </is>
      </c>
      <c r="C8" s="3" t="inlineStr">
        <is>
          <t>Catalog - Group</t>
        </is>
      </c>
      <c r="D8" s="3" t="inlineStr">
        <is>
          <t>catalog.group.prop[@name='content-source']</t>
        </is>
      </c>
      <c r="E8" s="3" t="inlineStr">
        <is>
          <t>Extension Property</t>
        </is>
      </c>
      <c r="F8" s="3" t="inlineStr">
        <is>
          <t>Origin system of the content</t>
        </is>
      </c>
      <c r="G8" s="3" t="inlineStr">
        <is>
          <t>Single</t>
        </is>
      </c>
      <c r="H8" s="3" t="inlineStr">
        <is>
          <t>VARCHAR</t>
        </is>
      </c>
      <c r="I8" s="3" t="inlineStr">
        <is>
          <t>CORE TEXT CAPTURED</t>
        </is>
      </c>
      <c r="J8" s="3" t="inlineStr"/>
      <c r="K8" s="3" t="inlineStr">
        <is>
          <t>T01 + T03</t>
        </is>
      </c>
      <c r="L8" s="3" t="inlineStr"/>
      <c r="M8" s="3" t="inlineStr"/>
    </row>
    <row r="9">
      <c r="A9" s="3" t="inlineStr">
        <is>
          <t>9</t>
        </is>
      </c>
      <c r="B9" s="3" t="inlineStr">
        <is>
          <t>TOPIC_DESCRIPTION</t>
        </is>
      </c>
      <c r="C9" s="3" t="inlineStr">
        <is>
          <t>Catalog - Group</t>
        </is>
      </c>
      <c r="D9" s="3" t="inlineStr">
        <is>
          <t>catalog.group.part[@name='overview'].prose</t>
        </is>
      </c>
      <c r="E9" s="3" t="inlineStr">
        <is>
          <t>Direct</t>
        </is>
      </c>
      <c r="F9" s="3" t="inlineStr">
        <is>
          <t>Full topic description</t>
        </is>
      </c>
      <c r="G9" s="3" t="inlineStr">
        <is>
          <t>Single</t>
        </is>
      </c>
      <c r="H9" s="3" t="inlineStr">
        <is>
          <t>VARCHAR</t>
        </is>
      </c>
      <c r="I9" s="3" t="inlineStr">
        <is>
          <t>CORE TEXT CAPTURED</t>
        </is>
      </c>
      <c r="J9" s="3" t="inlineStr"/>
      <c r="K9" s="3" t="inlineStr">
        <is>
          <t>T01 + T03</t>
        </is>
      </c>
      <c r="L9" s="3" t="inlineStr"/>
      <c r="M9" s="3" t="inlineStr"/>
    </row>
    <row r="10">
      <c r="A10" s="3" t="inlineStr">
        <is>
          <t>10</t>
        </is>
      </c>
      <c r="B10" s="3" t="inlineStr">
        <is>
          <t>INFORMATION</t>
        </is>
      </c>
      <c r="C10" s="3" t="inlineStr">
        <is>
          <t>Catalog - Group</t>
        </is>
      </c>
      <c r="D10" s="3" t="inlineStr">
        <is>
          <t>catalog.group.part[@name='information'].prose</t>
        </is>
      </c>
      <c r="E10" s="3" t="inlineStr">
        <is>
          <t>Direct</t>
        </is>
      </c>
      <c r="F10" s="3" t="inlineStr">
        <is>
          <t>Additional information about the topic</t>
        </is>
      </c>
      <c r="G10" s="3" t="inlineStr">
        <is>
          <t>Single</t>
        </is>
      </c>
      <c r="H10" s="3" t="inlineStr">
        <is>
          <t>VARCHAR</t>
        </is>
      </c>
      <c r="I10" s="3" t="inlineStr">
        <is>
          <t>CORE TEXT CAPTURED</t>
        </is>
      </c>
      <c r="J10" s="3" t="inlineStr"/>
      <c r="K10" s="3" t="inlineStr">
        <is>
          <t>T01 + T03</t>
        </is>
      </c>
      <c r="L10" s="3" t="inlineStr"/>
      <c r="M10" s="3" t="inlineStr"/>
    </row>
    <row r="11">
      <c r="A11" s="3" t="inlineStr">
        <is>
          <t>11</t>
        </is>
      </c>
      <c r="B11" s="3" t="inlineStr">
        <is>
          <t>CRITICALITY</t>
        </is>
      </c>
      <c r="C11" s="3" t="inlineStr">
        <is>
          <t>Catalog - Group</t>
        </is>
      </c>
      <c r="D11" s="3" t="inlineStr">
        <is>
          <t>catalog.group.prop[@name='criticality']</t>
        </is>
      </c>
      <c r="E11" s="3" t="inlineStr">
        <is>
          <t>Extension Property</t>
        </is>
      </c>
      <c r="F11" s="3" t="inlineStr">
        <is>
          <t>Criticality level of the topic</t>
        </is>
      </c>
      <c r="G11" s="3" t="inlineStr">
        <is>
          <t>Single</t>
        </is>
      </c>
      <c r="H11" s="3" t="inlineStr">
        <is>
          <t>VARCHAR</t>
        </is>
      </c>
      <c r="I11" s="3" t="inlineStr">
        <is>
          <t>CORE TEXT CAPTURED</t>
        </is>
      </c>
      <c r="J11" s="3" t="inlineStr"/>
      <c r="K11" s="3" t="inlineStr">
        <is>
          <t>T01 + T03</t>
        </is>
      </c>
      <c r="L11" s="3" t="inlineStr"/>
      <c r="M11" s="3" t="inlineStr"/>
    </row>
    <row r="12">
      <c r="A12" s="3" t="inlineStr">
        <is>
          <t>12</t>
        </is>
      </c>
      <c r="B12" s="3" t="inlineStr">
        <is>
          <t>TOPIC_CRITICALITY_VALUE</t>
        </is>
      </c>
      <c r="C12" s="3" t="inlineStr">
        <is>
          <t>Catalog - Group</t>
        </is>
      </c>
      <c r="D12" s="3" t="inlineStr">
        <is>
          <t>catalog.group.prop[@name='criticality-value']</t>
        </is>
      </c>
      <c r="E12" s="3" t="inlineStr">
        <is>
          <t>Extension Property</t>
        </is>
      </c>
      <c r="F12" s="3" t="inlineStr">
        <is>
          <t>Numeric criticality score for the topic</t>
        </is>
      </c>
      <c r="G12" s="3" t="inlineStr">
        <is>
          <t>Single</t>
        </is>
      </c>
      <c r="H12" s="3" t="inlineStr">
        <is>
          <t>DECIMAL</t>
        </is>
      </c>
      <c r="I12" s="3" t="inlineStr">
        <is>
          <t>CORE TEXT CAPTURED</t>
        </is>
      </c>
      <c r="J12" s="3" t="inlineStr"/>
      <c r="K12" s="3" t="inlineStr">
        <is>
          <t>T01 + T03</t>
        </is>
      </c>
      <c r="L12" s="3" t="inlineStr"/>
      <c r="M12" s="3" t="inlineStr"/>
    </row>
    <row r="13">
      <c r="A13" s="3" t="inlineStr">
        <is>
          <t>13</t>
        </is>
      </c>
      <c r="B13" s="3" t="inlineStr">
        <is>
          <t>SOURCE_REFERENCES</t>
        </is>
      </c>
      <c r="C13" s="3" t="inlineStr">
        <is>
          <t>Catalog - Metadata</t>
        </is>
      </c>
      <c r="D13" s="3" t="inlineStr">
        <is>
          <t>catalog.metadata.title</t>
        </is>
      </c>
      <c r="E13" s="3" t="inlineStr">
        <is>
          <t>Reference</t>
        </is>
      </c>
      <c r="F13" s="3" t="inlineStr">
        <is>
          <t>Parent authoritative source reference (owning catalog)</t>
        </is>
      </c>
      <c r="G13" s="3" t="inlineStr">
        <is>
          <t>Multi (likely ref[CLIPPED]</t>
        </is>
      </c>
      <c r="H13" s="3" t="inlineStr">
        <is>
          <t>VARCHAR</t>
        </is>
      </c>
      <c r="I13" s="3" t="inlineStr">
        <is>
          <t>CORE TEXT CAPTURED</t>
        </is>
      </c>
      <c r="J13" s="3" t="inlineStr">
        <is>
          <t>Supply full source text: Cardinality.</t>
        </is>
      </c>
      <c r="K13" s="3" t="inlineStr">
        <is>
          <t>T01 + T03</t>
        </is>
      </c>
      <c r="L13" s="3" t="inlineStr"/>
      <c r="M13" s="3" t="inlineStr"/>
    </row>
    <row r="14">
      <c r="A14" s="3" t="inlineStr">
        <is>
          <t>14</t>
        </is>
      </c>
      <c r="B14" s="3" t="inlineStr">
        <is>
          <t>SECTION_REFERENCES</t>
        </is>
      </c>
      <c r="C14" s="3" t="inlineStr">
        <is>
          <t>Catalog</t>
        </is>
      </c>
      <c r="D14" s="3" t="inlineStr">
        <is>
          <t>catalog.group.group[@id]</t>
        </is>
      </c>
      <c r="E14" s="3" t="inlineStr">
        <is>
          <t>Reference</t>
        </is>
      </c>
      <c r="F14" s="3" t="inlineStr">
        <is>
          <t>Child sections represented as nested groups</t>
        </is>
      </c>
      <c r="G14" s="3" t="inlineStr">
        <is>
          <t>Multi (likely ref[CLIPPED]</t>
        </is>
      </c>
      <c r="H14" s="3" t="inlineStr">
        <is>
          <t>VARCHAR</t>
        </is>
      </c>
      <c r="I14" s="3" t="inlineStr">
        <is>
          <t>CORE TEXT CAPTURED</t>
        </is>
      </c>
      <c r="J14" s="3" t="inlineStr">
        <is>
          <t>Supply full source text: Cardinality.</t>
        </is>
      </c>
      <c r="K14" s="3" t="inlineStr">
        <is>
          <t>T01 + T03</t>
        </is>
      </c>
      <c r="L14" s="3" t="inlineStr"/>
      <c r="M14" s="3" t="inlineStr"/>
    </row>
    <row r="15">
      <c r="A15" s="3" t="inlineStr">
        <is>
          <t>15</t>
        </is>
      </c>
      <c r="B15" s="3" t="inlineStr">
        <is>
          <t>TOTAL_NUMBER_OF_SECTIONS</t>
        </is>
      </c>
      <c r="C15" s="3" t="inlineStr">
        <is>
          <t>Catalog - Group</t>
        </is>
      </c>
      <c r="D15" s="3" t="inlineStr">
        <is>
          <t>catalog.group.prop[@name='section-count']</t>
        </is>
      </c>
      <c r="E15" s="3" t="inlineStr">
        <is>
          <t>Extension Property</t>
        </is>
      </c>
      <c r="F15" s="3" t="inlineStr">
        <is>
          <t>Count of child sections</t>
        </is>
      </c>
      <c r="G15" s="3" t="inlineStr">
        <is>
          <t>Single</t>
        </is>
      </c>
      <c r="H15" s="3" t="inlineStr">
        <is>
          <t>DECIMAL</t>
        </is>
      </c>
      <c r="I15" s="3" t="inlineStr">
        <is>
          <t>CORE TEXT CAPTURED</t>
        </is>
      </c>
      <c r="J15" s="3" t="inlineStr"/>
      <c r="K15" s="3" t="inlineStr">
        <is>
          <t>T01 + T03</t>
        </is>
      </c>
      <c r="L15" s="3" t="inlineStr"/>
      <c r="M15" s="3" t="inlineStr"/>
    </row>
    <row r="16">
      <c r="A16" s="3" t="inlineStr">
        <is>
          <t>16</t>
        </is>
      </c>
      <c r="B16" s="3" t="inlineStr">
        <is>
          <t>CONTROL_STANDARDS</t>
        </is>
      </c>
      <c r="C16" s="3" t="inlineStr">
        <is>
          <t>Catalog</t>
        </is>
      </c>
      <c r="D16" s="3" t="inlineStr">
        <is>
          <t>catalog.group.control[@id]</t>
        </is>
      </c>
      <c r="E16" s="3" t="inlineStr">
        <is>
          <t>Reference</t>
        </is>
      </c>
      <c r="F16" s="3" t="inlineStr">
        <is>
          <t>Control standards within this topic</t>
        </is>
      </c>
      <c r="G16" s="3" t="inlineStr">
        <is>
          <t>Multi (likely ref[CLIPPED]</t>
        </is>
      </c>
      <c r="H16" s="3" t="inlineStr">
        <is>
          <t>VARCHAR</t>
        </is>
      </c>
      <c r="I16" s="3" t="inlineStr">
        <is>
          <t>CORE TEXT CAPTURED</t>
        </is>
      </c>
      <c r="J16" s="3" t="inlineStr">
        <is>
          <t>Supply full source text: Cardinality.</t>
        </is>
      </c>
      <c r="K16" s="3" t="inlineStr">
        <is>
          <t>T01 + T03</t>
        </is>
      </c>
      <c r="L16" s="3" t="inlineStr"/>
      <c r="M16" s="3" t="inlineStr"/>
    </row>
    <row r="17">
      <c r="A17" s="3" t="inlineStr">
        <is>
          <t>17</t>
        </is>
      </c>
      <c r="B17" s="3" t="inlineStr">
        <is>
          <t>CONTROL_STANDARDS_FROM_SECTION_AND_SUBSECTION_LEVELS</t>
        </is>
      </c>
      <c r="C17" s="3" t="inlineStr">
        <is>
          <t>Catalog</t>
        </is>
      </c>
      <c r="D17" s="3" t="inlineStr">
        <is>
          <t>catalog.group.group.control[@id]</t>
        </is>
      </c>
      <c r="E17" s="3" t="inlineStr">
        <is>
          <t>Reference</t>
        </is>
      </c>
      <c r="F17" s="3" t="inlineStr">
        <is>
          <t>Controls rolled up from descendant section and sub-section le[CLIPPED]</t>
        </is>
      </c>
      <c r="G17" s="3" t="inlineStr">
        <is>
          <t>Multi (likely ref[CLIPPED]</t>
        </is>
      </c>
      <c r="H17" s="3" t="inlineStr">
        <is>
          <t>VARCHAR</t>
        </is>
      </c>
      <c r="I17" s="3" t="inlineStr">
        <is>
          <t>NEEDS SOURCE TEXT</t>
        </is>
      </c>
      <c r="J17" s="3" t="inlineStr">
        <is>
          <t>Supply full source text: Cardinality, Original Notes.</t>
        </is>
      </c>
      <c r="K17" s="3" t="inlineStr">
        <is>
          <t>T01 + T03</t>
        </is>
      </c>
      <c r="L17" s="3" t="inlineStr"/>
      <c r="M17" s="3" t="inlineStr"/>
    </row>
    <row r="18">
      <c r="A18" s="3" t="inlineStr">
        <is>
          <t>18</t>
        </is>
      </c>
      <c r="B18" s="3" t="inlineStr">
        <is>
          <t>MASTER_CONTROLS_AUTHORITATIVE_SOURCES</t>
        </is>
      </c>
      <c r="C18" s="3" t="inlineStr">
        <is>
          <t>Catalog</t>
        </is>
      </c>
      <c r="D18" s="3" t="inlineStr">
        <is>
          <t>catalog.control[@id].link[@rel='related']</t>
        </is>
      </c>
      <c r="E18" s="3" t="inlineStr">
        <is>
          <t>Reference</t>
        </is>
      </c>
      <c r="F18" s="3" t="inlineStr">
        <is>
          <t>Relationship to master control definitions</t>
        </is>
      </c>
      <c r="G18" s="3" t="inlineStr">
        <is>
          <t>Multi (likely ref[CLIPPED]</t>
        </is>
      </c>
      <c r="H18" s="3" t="inlineStr">
        <is>
          <t>VARCHAR</t>
        </is>
      </c>
      <c r="I18" s="3" t="inlineStr">
        <is>
          <t>CORE TEXT CAPTURED</t>
        </is>
      </c>
      <c r="J18" s="3" t="inlineStr">
        <is>
          <t>Supply full source text: Cardinality.</t>
        </is>
      </c>
      <c r="K18" s="3" t="inlineStr">
        <is>
          <t>T01 + T03</t>
        </is>
      </c>
      <c r="L18" s="3" t="inlineStr"/>
      <c r="M18" s="3" t="inlineStr"/>
    </row>
    <row r="19">
      <c r="A19" s="3" t="inlineStr">
        <is>
          <t>19</t>
        </is>
      </c>
      <c r="B19" s="3" t="inlineStr">
        <is>
          <t>NUMBER_OF_CONTROL_STANDARDS_TOPIC_LEVEL</t>
        </is>
      </c>
      <c r="C19" s="3" t="inlineStr">
        <is>
          <t>Catalog - Group</t>
        </is>
      </c>
      <c r="D19" s="3" t="inlineStr">
        <is>
          <t>catalog.group.prop[@name='control-count']</t>
        </is>
      </c>
      <c r="E19" s="3" t="inlineStr">
        <is>
          <t>Extension Property</t>
        </is>
      </c>
      <c r="F19" s="3" t="inlineStr">
        <is>
          <t>Count of controls at topic level</t>
        </is>
      </c>
      <c r="G19" s="3" t="inlineStr">
        <is>
          <t>Single</t>
        </is>
      </c>
      <c r="H19" s="3" t="inlineStr">
        <is>
          <t>DECIMAL</t>
        </is>
      </c>
      <c r="I19" s="3" t="inlineStr">
        <is>
          <t>CORE TEXT CAPTURED</t>
        </is>
      </c>
      <c r="J19" s="3" t="inlineStr"/>
      <c r="K19" s="3" t="inlineStr">
        <is>
          <t>T01 + T03</t>
        </is>
      </c>
      <c r="L19" s="3" t="inlineStr"/>
      <c r="M19" s="3" t="inlineStr"/>
    </row>
    <row r="20">
      <c r="A20" s="3" t="inlineStr">
        <is>
          <t>20</t>
        </is>
      </c>
      <c r="B20" s="3" t="inlineStr">
        <is>
          <t>CONTROL_PROCEDURES</t>
        </is>
      </c>
      <c r="C20" s="3" t="inlineStr">
        <is>
          <t>Catalog or Component Def[CLIPPED]</t>
        </is>
      </c>
      <c r="D20" s="3" t="inlineStr">
        <is>
          <t>catalog.control[@id].part[@name='statement'], [CLIPPED]</t>
        </is>
      </c>
      <c r="E20" s="3" t="inlineStr">
        <is>
          <t>Direct</t>
        </is>
      </c>
      <c r="F20" s="3" t="inlineStr">
        <is>
          <t>Procedures for implementing controls</t>
        </is>
      </c>
      <c r="G20" s="3" t="inlineStr">
        <is>
          <t>Single</t>
        </is>
      </c>
      <c r="H20" s="3" t="inlineStr">
        <is>
          <t>VARCHAR</t>
        </is>
      </c>
      <c r="I20" s="3" t="inlineStr">
        <is>
          <t>NEEDS SOURCE TEXT</t>
        </is>
      </c>
      <c r="J20" s="3" t="inlineStr">
        <is>
          <t>Supply full source text: OSCAL model, OSCAL element path.</t>
        </is>
      </c>
      <c r="K20" s="3" t="inlineStr">
        <is>
          <t>T01 + T03</t>
        </is>
      </c>
      <c r="L20" s="3" t="inlineStr"/>
      <c r="M20" s="3" t="inlineStr"/>
    </row>
    <row r="21">
      <c r="A21" s="3" t="inlineStr">
        <is>
          <t>21</t>
        </is>
      </c>
      <c r="B21" s="3" t="inlineStr">
        <is>
          <t>RELATED_CONTROL_PROCEDURES</t>
        </is>
      </c>
      <c r="C21" s="3" t="inlineStr">
        <is>
          <t>Catalog</t>
        </is>
      </c>
      <c r="D21" s="3" t="inlineStr">
        <is>
          <t>catalog.control[@id].link[@rel='related']</t>
        </is>
      </c>
      <c r="E21" s="3" t="inlineStr">
        <is>
          <t>Reference</t>
        </is>
      </c>
      <c r="F21" s="3" t="inlineStr">
        <is>
          <t>Cross-references to related procedures</t>
        </is>
      </c>
      <c r="G21" s="3" t="inlineStr">
        <is>
          <t>Multi (likely ref[CLIPPED]</t>
        </is>
      </c>
      <c r="H21" s="3" t="inlineStr">
        <is>
          <t>VARCHAR</t>
        </is>
      </c>
      <c r="I21" s="3" t="inlineStr">
        <is>
          <t>CORE TEXT CAPTURED</t>
        </is>
      </c>
      <c r="J21" s="3" t="inlineStr">
        <is>
          <t>Supply full source text: Cardinality.</t>
        </is>
      </c>
      <c r="K21" s="3" t="inlineStr">
        <is>
          <t>T01 + T03</t>
        </is>
      </c>
      <c r="L21" s="3" t="inlineStr"/>
      <c r="M21" s="3" t="inlineStr"/>
    </row>
    <row r="22">
      <c r="A22" s="3" t="inlineStr">
        <is>
          <t>22</t>
        </is>
      </c>
      <c r="B22" s="3" t="inlineStr">
        <is>
          <t>COMPLIANCE_RATING</t>
        </is>
      </c>
      <c r="C22" s="3" t="inlineStr">
        <is>
          <t>Assessment Results</t>
        </is>
      </c>
      <c r="D22" s="3" t="inlineStr">
        <is>
          <t>assessment-results.result.reviewed-controls.co[CLIPPED]</t>
        </is>
      </c>
      <c r="E22" s="3" t="inlineStr">
        <is>
          <t>Extension Property</t>
        </is>
      </c>
      <c r="F22" s="3" t="inlineStr">
        <is>
          <t>Overall compliance rating for the topic</t>
        </is>
      </c>
      <c r="G22" s="3" t="inlineStr">
        <is>
          <t>Single</t>
        </is>
      </c>
      <c r="H22" s="3" t="inlineStr">
        <is>
          <t>VARCHAR</t>
        </is>
      </c>
      <c r="I22" s="3" t="inlineStr">
        <is>
          <t>NEEDS SOURCE TEXT</t>
        </is>
      </c>
      <c r="J22" s="3" t="inlineStr">
        <is>
          <t>Supply full source text: OSCAL element path.</t>
        </is>
      </c>
      <c r="K22" s="3" t="inlineStr">
        <is>
          <t>T01 + T03</t>
        </is>
      </c>
      <c r="L22" s="3" t="inlineStr"/>
      <c r="M22" s="3" t="inlineStr"/>
    </row>
    <row r="23">
      <c r="A23" s="3" t="inlineStr">
        <is>
          <t>23</t>
        </is>
      </c>
      <c r="B23" s="3" t="inlineStr">
        <is>
          <t>PCT_OF_NONCOMPLIANT_CONTROLS</t>
        </is>
      </c>
      <c r="C23" s="3" t="inlineStr">
        <is>
          <t>Assessment Results</t>
        </is>
      </c>
      <c r="D23" s="3" t="inlineStr">
        <is>
          <t>assessment-results.result.prop[@name='nonco[CLIPPED]</t>
        </is>
      </c>
      <c r="E23" s="3" t="inlineStr">
        <is>
          <t>Extension Property</t>
        </is>
      </c>
      <c r="F23" s="3" t="inlineStr">
        <is>
          <t>Percentage of non-compliant controls</t>
        </is>
      </c>
      <c r="G23" s="3" t="inlineStr">
        <is>
          <t>Single</t>
        </is>
      </c>
      <c r="H23" s="3" t="inlineStr">
        <is>
          <t>DECIMAL</t>
        </is>
      </c>
      <c r="I23" s="3" t="inlineStr">
        <is>
          <t>NEEDS SOURCE TEXT</t>
        </is>
      </c>
      <c r="J23" s="3" t="inlineStr">
        <is>
          <t>Supply full source text: OSCAL element path.</t>
        </is>
      </c>
      <c r="K23" s="3" t="inlineStr">
        <is>
          <t>T01 + T03</t>
        </is>
      </c>
      <c r="L23" s="3" t="inlineStr"/>
      <c r="M23" s="3" t="inlineStr"/>
    </row>
    <row r="24">
      <c r="A24" s="3" t="inlineStr">
        <is>
          <t>24</t>
        </is>
      </c>
      <c r="B24" s="3" t="inlineStr">
        <is>
          <t>COUNT_OF_CONTROLS</t>
        </is>
      </c>
      <c r="C24" s="3" t="inlineStr">
        <is>
          <t>Catalog - Group</t>
        </is>
      </c>
      <c r="D24" s="3" t="inlineStr">
        <is>
          <t>catalog.group.prop[@name='total-controls']</t>
        </is>
      </c>
      <c r="E24" s="3" t="inlineStr">
        <is>
          <t>Extension Property</t>
        </is>
      </c>
      <c r="F24" s="3" t="inlineStr">
        <is>
          <t>Total number of controls in the topic</t>
        </is>
      </c>
      <c r="G24" s="3" t="inlineStr">
        <is>
          <t>Single</t>
        </is>
      </c>
      <c r="H24" s="3" t="inlineStr">
        <is>
          <t>DECIMAL</t>
        </is>
      </c>
      <c r="I24" s="3" t="inlineStr">
        <is>
          <t>CORE TEXT CAPTURED</t>
        </is>
      </c>
      <c r="J24" s="3" t="inlineStr"/>
      <c r="K24" s="3" t="inlineStr">
        <is>
          <t>T01 + T03</t>
        </is>
      </c>
      <c r="L24" s="3" t="inlineStr"/>
      <c r="M24" s="3" t="inlineStr"/>
    </row>
    <row r="25">
      <c r="A25" s="3" t="inlineStr">
        <is>
          <t>25</t>
        </is>
      </c>
      <c r="B25" s="3" t="inlineStr">
        <is>
          <t>COUNT_OF_NONCOMPLIANT_CONTROLS</t>
        </is>
      </c>
      <c r="C25" s="3" t="inlineStr">
        <is>
          <t>Assessment Results</t>
        </is>
      </c>
      <c r="D25" s="3" t="inlineStr">
        <is>
          <t>assessment-results.result.prop[@name='nonc[CLIPPED]</t>
        </is>
      </c>
      <c r="E25" s="3" t="inlineStr">
        <is>
          <t>Extension Property</t>
        </is>
      </c>
      <c r="F25" s="3" t="inlineStr">
        <is>
          <t>Number of non-compliant controls</t>
        </is>
      </c>
      <c r="G25" s="3" t="inlineStr">
        <is>
          <t>Single</t>
        </is>
      </c>
      <c r="H25" s="3" t="inlineStr">
        <is>
          <t>DECIMAL</t>
        </is>
      </c>
      <c r="I25" s="3" t="inlineStr">
        <is>
          <t>NEEDS SOURCE TEXT</t>
        </is>
      </c>
      <c r="J25" s="3" t="inlineStr">
        <is>
          <t>Supply full source text: OSCAL element path.</t>
        </is>
      </c>
      <c r="K25" s="3" t="inlineStr">
        <is>
          <t>T01 + T03</t>
        </is>
      </c>
      <c r="L25" s="3" t="inlineStr"/>
      <c r="M25" s="3" t="inlineStr"/>
    </row>
    <row r="26">
      <c r="A26" s="3" t="inlineStr">
        <is>
          <t>26</t>
        </is>
      </c>
      <c r="B26" s="3" t="inlineStr">
        <is>
          <t>RELATED_TO_KEY_CONTROLS</t>
        </is>
      </c>
      <c r="C26" s="3" t="inlineStr">
        <is>
          <t>Catalog</t>
        </is>
      </c>
      <c r="D26" s="3" t="inlineStr">
        <is>
          <t>catalog.control[@id].prop[@name='key-control[CLIPPED]</t>
        </is>
      </c>
      <c r="E26" s="3" t="inlineStr">
        <is>
          <t>Extension Property</t>
        </is>
      </c>
      <c r="F26" s="3" t="inlineStr">
        <is>
          <t>Indicator of key/critical controls</t>
        </is>
      </c>
      <c r="G26" s="3" t="inlineStr">
        <is>
          <t>Single</t>
        </is>
      </c>
      <c r="H26" s="3" t="inlineStr">
        <is>
          <t>DECIMAL</t>
        </is>
      </c>
      <c r="I26" s="3" t="inlineStr">
        <is>
          <t>NEEDS SOURCE TEXT</t>
        </is>
      </c>
      <c r="J26" s="3" t="inlineStr">
        <is>
          <t>Supply full source text: OSCAL element path.</t>
        </is>
      </c>
      <c r="K26" s="3" t="inlineStr">
        <is>
          <t>T01 + T03</t>
        </is>
      </c>
      <c r="L26" s="3" t="inlineStr"/>
      <c r="M26" s="3" t="inlineStr"/>
    </row>
    <row r="27">
      <c r="A27" s="3" t="inlineStr">
        <is>
          <t>27</t>
        </is>
      </c>
      <c r="B27" s="3" t="inlineStr">
        <is>
          <t>FINDINGS</t>
        </is>
      </c>
      <c r="C27" s="3" t="inlineStr">
        <is>
          <t>Assessment Results</t>
        </is>
      </c>
      <c r="D27" s="3" t="inlineStr">
        <is>
          <t>assessment-results.result.finding[@uuid]</t>
        </is>
      </c>
      <c r="E27" s="3" t="inlineStr">
        <is>
          <t>Reference</t>
        </is>
      </c>
      <c r="F27" s="3" t="inlineStr">
        <is>
          <t>Assessment findings related to this topic</t>
        </is>
      </c>
      <c r="G27" s="3" t="inlineStr">
        <is>
          <t>Multi (likely ref[CLIPPED]</t>
        </is>
      </c>
      <c r="H27" s="3" t="inlineStr">
        <is>
          <t>VARCHAR</t>
        </is>
      </c>
      <c r="I27" s="3" t="inlineStr">
        <is>
          <t>CORE TEXT CAPTURED</t>
        </is>
      </c>
      <c r="J27" s="3" t="inlineStr">
        <is>
          <t>Supply full source text: Cardinality.</t>
        </is>
      </c>
      <c r="K27" s="3" t="inlineStr">
        <is>
          <t>T01 + T03</t>
        </is>
      </c>
      <c r="L27" s="3" t="inlineStr"/>
      <c r="M27" s="3" t="inlineStr"/>
    </row>
    <row r="28">
      <c r="A28" s="3" t="inlineStr">
        <is>
          <t>28</t>
        </is>
      </c>
      <c r="B28" s="3" t="inlineStr">
        <is>
          <t>CONTROL_TESTING_RESULTS_FAILED_EXTERNAL_CONTROL_REQUIREMENT</t>
        </is>
      </c>
      <c r="C28" s="3" t="inlineStr">
        <is>
          <t>Assessment Results</t>
        </is>
      </c>
      <c r="D28" s="3" t="inlineStr">
        <is>
          <t>assessment-results.result.finding.collected.pro[CLIPPED]</t>
        </is>
      </c>
      <c r="E28" s="3" t="inlineStr">
        <is>
          <t>Extension Property</t>
        </is>
      </c>
      <c r="F28" s="3" t="inlineStr">
        <is>
          <t>Failed control testing results</t>
        </is>
      </c>
      <c r="G28" s="3" t="inlineStr">
        <is>
          <t>Multi (likely ref[CLIPPED]</t>
        </is>
      </c>
      <c r="H28" s="3" t="inlineStr">
        <is>
          <t>VARCHAR</t>
        </is>
      </c>
      <c r="I28" s="3" t="inlineStr">
        <is>
          <t>NEEDS SOURCE TEXT</t>
        </is>
      </c>
      <c r="J28" s="3" t="inlineStr">
        <is>
          <t>Supply full source text: Cardinality, OSCAL element path.</t>
        </is>
      </c>
      <c r="K28" s="3" t="inlineStr">
        <is>
          <t>T01 + T03</t>
        </is>
      </c>
      <c r="L28" s="3" t="inlineStr"/>
      <c r="M28" s="3" t="inlineStr"/>
    </row>
    <row r="29">
      <c r="A29" s="3" t="inlineStr">
        <is>
          <t>29</t>
        </is>
      </c>
      <c r="B29" s="3" t="inlineStr">
        <is>
          <t>DEVIATIONS_AUTHORITATIVE_SOURCES</t>
        </is>
      </c>
      <c r="C29" s="3" t="inlineStr">
        <is>
          <t>Assessment Results</t>
        </is>
      </c>
      <c r="D29" s="3" t="inlineStr">
        <is>
          <t>assessment-results.result.finding[@uuid].prop[CLIPPED]</t>
        </is>
      </c>
      <c r="E29" s="3" t="inlineStr">
        <is>
          <t>Extension Property</t>
        </is>
      </c>
      <c r="F29" s="3" t="inlineStr">
        <is>
          <t>Documented deviations from standards</t>
        </is>
      </c>
      <c r="G29" s="3" t="inlineStr">
        <is>
          <t>Multi (likely ref[CLIPPED]</t>
        </is>
      </c>
      <c r="H29" s="3" t="inlineStr">
        <is>
          <t>VARCHAR</t>
        </is>
      </c>
      <c r="I29" s="3" t="inlineStr">
        <is>
          <t>NEEDS SOURCE TEXT</t>
        </is>
      </c>
      <c r="J29" s="3" t="inlineStr">
        <is>
          <t>Supply full source text: Cardinality, OSCAL element path.</t>
        </is>
      </c>
      <c r="K29" s="3" t="inlineStr">
        <is>
          <t>T01 + T03</t>
        </is>
      </c>
      <c r="L29" s="3" t="inlineStr"/>
      <c r="M29" s="3" t="inlineStr"/>
    </row>
    <row r="30">
      <c r="A30" s="3" t="inlineStr">
        <is>
          <t>30</t>
        </is>
      </c>
      <c r="B30" s="3" t="inlineStr">
        <is>
          <t>DEVIATIONS_TOPICS_LINKED_HELPER</t>
        </is>
      </c>
      <c r="C30" s="3" t="inlineStr">
        <is>
          <t>Assessment Results</t>
        </is>
      </c>
      <c r="D30" s="3" t="inlineStr">
        <is>
          <t>assessment-results.result.finding.related-obser[CLIPPED]</t>
        </is>
      </c>
      <c r="E30" s="3" t="inlineStr">
        <is>
          <t>Reference</t>
        </is>
      </c>
      <c r="F30" s="3" t="inlineStr">
        <is>
          <t>Helper linking deviations to topics/controls</t>
        </is>
      </c>
      <c r="G30" s="3" t="inlineStr">
        <is>
          <t>Multi (likely ref[CLIPPED]</t>
        </is>
      </c>
      <c r="H30" s="3" t="inlineStr">
        <is>
          <t>VARCHAR</t>
        </is>
      </c>
      <c r="I30" s="3" t="inlineStr">
        <is>
          <t>NEEDS SOURCE TEXT</t>
        </is>
      </c>
      <c r="J30" s="3" t="inlineStr">
        <is>
          <t>Supply full source text: Cardinality, OSCAL element path.</t>
        </is>
      </c>
      <c r="K30" s="3" t="inlineStr">
        <is>
          <t>T01 + T03</t>
        </is>
      </c>
      <c r="L30" s="3" t="inlineStr"/>
      <c r="M30" s="3" t="inlineStr"/>
    </row>
    <row r="31">
      <c r="A31" s="3" t="inlineStr">
        <is>
          <t>31</t>
        </is>
      </c>
      <c r="B31" s="3" t="inlineStr">
        <is>
          <t>POLICY_LEVEL_3</t>
        </is>
      </c>
      <c r="C31" s="3" t="inlineStr">
        <is>
          <t>Component Definition</t>
        </is>
      </c>
      <c r="D31" s="3" t="inlineStr">
        <is>
          <t>component-definition.component.prop[@name=[CLIPPED]</t>
        </is>
      </c>
      <c r="E31" s="3" t="inlineStr">
        <is>
          <t>Extension Property</t>
        </is>
      </c>
      <c r="F31" s="3" t="inlineStr">
        <is>
          <t>Hierarchical policy level</t>
        </is>
      </c>
      <c r="G31" s="3" t="inlineStr">
        <is>
          <t>Single</t>
        </is>
      </c>
      <c r="H31" s="3" t="inlineStr">
        <is>
          <t>VARCHAR</t>
        </is>
      </c>
      <c r="I31" s="3" t="inlineStr">
        <is>
          <t>NEEDS SOURCE TEXT</t>
        </is>
      </c>
      <c r="J31" s="3" t="inlineStr">
        <is>
          <t>Supply full source text: OSCAL element path.</t>
        </is>
      </c>
      <c r="K31" s="3" t="inlineStr">
        <is>
          <t>T01 + T03</t>
        </is>
      </c>
      <c r="L31" s="3" t="inlineStr"/>
      <c r="M31" s="3" t="inlineStr"/>
    </row>
    <row r="32">
      <c r="A32" s="3" t="inlineStr">
        <is>
          <t>32</t>
        </is>
      </c>
      <c r="B32" s="3" t="inlineStr">
        <is>
          <t>POLICY_LEVEL_3_FROM_SECTION_AND_SUBSECTION_LEVELS</t>
        </is>
      </c>
      <c r="C32" s="3" t="inlineStr">
        <is>
          <t>Component Definition</t>
        </is>
      </c>
      <c r="D32" s="3" t="inlineStr">
        <is>
          <t>component-definition.component.link[@rel='pol[CLIPPED]</t>
        </is>
      </c>
      <c r="E32" s="3" t="inlineStr">
        <is>
          <t>Reference</t>
        </is>
      </c>
      <c r="F32" s="3" t="inlineStr">
        <is>
          <t>Policy Level 3 rolled up from descendant levels</t>
        </is>
      </c>
      <c r="G32" s="3" t="inlineStr">
        <is>
          <t>Single</t>
        </is>
      </c>
      <c r="H32" s="3" t="inlineStr">
        <is>
          <t>VARCHAR</t>
        </is>
      </c>
      <c r="I32" s="3" t="inlineStr">
        <is>
          <t>NEEDS SOURCE TEXT</t>
        </is>
      </c>
      <c r="J32" s="3" t="inlineStr">
        <is>
          <t>Supply full source text: OSCAL element path.</t>
        </is>
      </c>
      <c r="K32" s="3" t="inlineStr">
        <is>
          <t>T01 + T03</t>
        </is>
      </c>
      <c r="L32" s="3" t="inlineStr"/>
      <c r="M32" s="3" t="inlineStr"/>
    </row>
    <row r="33">
      <c r="A33" s="3" t="inlineStr">
        <is>
          <t>33</t>
        </is>
      </c>
      <c r="B33" s="3" t="inlineStr">
        <is>
          <t>NUMBER_OF_POLICIES_TOPIC_LEVEL</t>
        </is>
      </c>
      <c r="C33" s="3" t="inlineStr">
        <is>
          <t>Component Definition</t>
        </is>
      </c>
      <c r="D33" s="3" t="inlineStr">
        <is>
          <t>component-definition.component.prop[@name=[CLIPPED]</t>
        </is>
      </c>
      <c r="E33" s="3" t="inlineStr">
        <is>
          <t>Extension Property</t>
        </is>
      </c>
      <c r="F33" s="3" t="inlineStr">
        <is>
          <t>Count of policies at topic level</t>
        </is>
      </c>
      <c r="G33" s="3" t="inlineStr">
        <is>
          <t>Single</t>
        </is>
      </c>
      <c r="H33" s="3" t="inlineStr">
        <is>
          <t>DECIMAL</t>
        </is>
      </c>
      <c r="I33" s="3" t="inlineStr">
        <is>
          <t>NEEDS SOURCE TEXT</t>
        </is>
      </c>
      <c r="J33" s="3" t="inlineStr">
        <is>
          <t>Supply full source text: OSCAL element path.</t>
        </is>
      </c>
      <c r="K33" s="3" t="inlineStr">
        <is>
          <t>T01 + T03</t>
        </is>
      </c>
      <c r="L33" s="3" t="inlineStr"/>
      <c r="M33" s="3" t="inlineStr"/>
    </row>
    <row r="34">
      <c r="A34" s="3" t="inlineStr">
        <is>
          <t>34</t>
        </is>
      </c>
      <c r="B34" s="3" t="inlineStr">
        <is>
          <t>LINKED_TO_POLICY_TOPIC_LEVEL</t>
        </is>
      </c>
      <c r="C34" s="3" t="inlineStr">
        <is>
          <t>Component Definition</t>
        </is>
      </c>
      <c r="D34" s="3" t="inlineStr">
        <is>
          <t>component-definition.component.link[@rel='top[CLIPPED]</t>
        </is>
      </c>
      <c r="E34" s="3" t="inlineStr">
        <is>
          <t>Reference</t>
        </is>
      </c>
      <c r="F34" s="3" t="inlineStr">
        <is>
          <t>Link to topic-level policies</t>
        </is>
      </c>
      <c r="G34" s="3" t="inlineStr">
        <is>
          <t>Multi (likely ref[CLIPPED]</t>
        </is>
      </c>
      <c r="H34" s="3" t="inlineStr">
        <is>
          <t>VARCHAR</t>
        </is>
      </c>
      <c r="I34" s="3" t="inlineStr">
        <is>
          <t>NEEDS SOURCE TEXT</t>
        </is>
      </c>
      <c r="J34" s="3" t="inlineStr">
        <is>
          <t>Supply full source text: Cardinality, OSCAL element path.</t>
        </is>
      </c>
      <c r="K34" s="3" t="inlineStr">
        <is>
          <t>T01 + T03</t>
        </is>
      </c>
      <c r="L34" s="3" t="inlineStr"/>
      <c r="M34" s="3" t="inlineStr"/>
    </row>
    <row r="35">
      <c r="A35" s="3" t="inlineStr">
        <is>
          <t>35</t>
        </is>
      </c>
      <c r="B35" s="3" t="inlineStr">
        <is>
          <t>TOTAL_NUMBER_OF_SECTIONS_LINKED_TO_POLICY</t>
        </is>
      </c>
      <c r="C35" s="3" t="inlineStr">
        <is>
          <t>Component Definition</t>
        </is>
      </c>
      <c r="D35" s="3" t="inlineStr">
        <is>
          <t>component-definition.component.prop[@name=[CLIPPED]</t>
        </is>
      </c>
      <c r="E35" s="3" t="inlineStr">
        <is>
          <t>Extension Property</t>
        </is>
      </c>
      <c r="F35" s="3" t="inlineStr">
        <is>
          <t>Child sections linked to a policy</t>
        </is>
      </c>
      <c r="G35" s="3" t="inlineStr">
        <is>
          <t>Single</t>
        </is>
      </c>
      <c r="H35" s="3" t="inlineStr">
        <is>
          <t>DECIMAL</t>
        </is>
      </c>
      <c r="I35" s="3" t="inlineStr">
        <is>
          <t>NEEDS SOURCE TEXT</t>
        </is>
      </c>
      <c r="J35" s="3" t="inlineStr">
        <is>
          <t>Supply full source text: OSCAL element path.</t>
        </is>
      </c>
      <c r="K35" s="3" t="inlineStr">
        <is>
          <t>T01 + T03</t>
        </is>
      </c>
      <c r="L35" s="3" t="inlineStr"/>
      <c r="M35" s="3" t="inlineStr"/>
    </row>
    <row r="36">
      <c r="A36" s="3" t="inlineStr">
        <is>
          <t>36</t>
        </is>
      </c>
      <c r="B36" s="3" t="inlineStr">
        <is>
          <t>PERCENT_OF_SECTIONS_LINKED_TO_POLICY</t>
        </is>
      </c>
      <c r="C36" s="3" t="inlineStr">
        <is>
          <t>Component Definition</t>
        </is>
      </c>
      <c r="D36" s="3" t="inlineStr">
        <is>
          <t>component-definition.component.prop[@name=[CLIPPED]</t>
        </is>
      </c>
      <c r="E36" s="3" t="inlineStr">
        <is>
          <t>Extension Property</t>
        </is>
      </c>
      <c r="F36" s="3" t="inlineStr">
        <is>
          <t>Percent of child sections linked to policy</t>
        </is>
      </c>
      <c r="G36" s="3" t="inlineStr">
        <is>
          <t>Single</t>
        </is>
      </c>
      <c r="H36" s="3" t="inlineStr">
        <is>
          <t>DECIMAL</t>
        </is>
      </c>
      <c r="I36" s="3" t="inlineStr">
        <is>
          <t>NEEDS SOURCE TEXT</t>
        </is>
      </c>
      <c r="J36" s="3" t="inlineStr">
        <is>
          <t>Supply full source text: OSCAL element path.</t>
        </is>
      </c>
      <c r="K36" s="3" t="inlineStr">
        <is>
          <t>T01 + T03</t>
        </is>
      </c>
      <c r="L36" s="3" t="inlineStr"/>
      <c r="M36" s="3" t="inlineStr"/>
    </row>
    <row r="37">
      <c r="A37" s="3" t="inlineStr">
        <is>
          <t>37</t>
        </is>
      </c>
      <c r="B37" s="3" t="inlineStr">
        <is>
          <t>ENGAGEMENT_SCOPE_IN_CONTROL_TOPIC</t>
        </is>
      </c>
      <c r="C37" s="3" t="inlineStr">
        <is>
          <t>Assessment Plan</t>
        </is>
      </c>
      <c r="D37" s="3" t="inlineStr">
        <is>
          <t>assessment-plan.local-definitions.activity.prop[CLIPPED]</t>
        </is>
      </c>
      <c r="E37" s="3" t="inlineStr">
        <is>
          <t>Extension Property</t>
        </is>
      </c>
      <c r="F37" s="3" t="inlineStr">
        <is>
          <t>Scope of compliance engagement for the topic</t>
        </is>
      </c>
      <c r="G37" s="3" t="inlineStr">
        <is>
          <t>Single</t>
        </is>
      </c>
      <c r="H37" s="3" t="inlineStr">
        <is>
          <t>VARCHAR</t>
        </is>
      </c>
      <c r="I37" s="3" t="inlineStr">
        <is>
          <t>NEEDS SOURCE TEXT</t>
        </is>
      </c>
      <c r="J37" s="3" t="inlineStr">
        <is>
          <t>Supply full source text: OSCAL element path.</t>
        </is>
      </c>
      <c r="K37" s="3" t="inlineStr">
        <is>
          <t>T01 + T03</t>
        </is>
      </c>
      <c r="L37" s="3" t="inlineStr"/>
      <c r="M37" s="3" t="inlineStr"/>
    </row>
    <row r="38">
      <c r="A38" s="3" t="inlineStr">
        <is>
          <t>38</t>
        </is>
      </c>
      <c r="B38" s="3" t="inlineStr">
        <is>
          <t>COMPLIANCE_ENGAGEMENTS_SCOPE_PROCEDURES_FROM_SELECTED_AUTH[CLIPPED]</t>
        </is>
      </c>
      <c r="C38" s="3" t="inlineStr">
        <is>
          <t>Assessment Plan</t>
        </is>
      </c>
      <c r="D38" s="3" t="inlineStr">
        <is>
          <t>assessment-plan.local-definitions.activity.step</t>
        </is>
      </c>
      <c r="E38" s="3" t="inlineStr">
        <is>
          <t>Direct</t>
        </is>
      </c>
      <c r="F38" s="3" t="inlineStr">
        <is>
          <t>Procedures for compliance engagements</t>
        </is>
      </c>
      <c r="G38" s="3" t="inlineStr">
        <is>
          <t>Single</t>
        </is>
      </c>
      <c r="H38" s="3" t="inlineStr">
        <is>
          <t>VARCHAR</t>
        </is>
      </c>
      <c r="I38" s="3" t="inlineStr">
        <is>
          <t>NEEDS SOURCE TEXT</t>
        </is>
      </c>
      <c r="J38" s="3" t="inlineStr">
        <is>
          <t>Supply full source text: Archer field name.</t>
        </is>
      </c>
      <c r="K38" s="3" t="inlineStr">
        <is>
          <t>T01 + T03</t>
        </is>
      </c>
      <c r="L38" s="3" t="inlineStr"/>
      <c r="M38" s="3" t="inlineStr"/>
    </row>
    <row r="39">
      <c r="A39" s="3" t="inlineStr">
        <is>
          <t>39</t>
        </is>
      </c>
      <c r="B39" s="3" t="inlineStr">
        <is>
          <t>QUESTION_LIBRARY</t>
        </is>
      </c>
      <c r="C39" s="3" t="inlineStr">
        <is>
          <t>Assessment Plan</t>
        </is>
      </c>
      <c r="D39" s="3" t="inlineStr">
        <is>
          <t>assessment-plan.local-definitions.activity.prop[CLIPPED]</t>
        </is>
      </c>
      <c r="E39" s="3" t="inlineStr">
        <is>
          <t>Extension Property</t>
        </is>
      </c>
      <c r="F39" s="3" t="inlineStr">
        <is>
          <t>Assessment questionnaire references</t>
        </is>
      </c>
      <c r="G39" s="3" t="inlineStr">
        <is>
          <t>Multi (likely ref[CLIPPED]</t>
        </is>
      </c>
      <c r="H39" s="3" t="inlineStr">
        <is>
          <t>VARCHAR</t>
        </is>
      </c>
      <c r="I39" s="3" t="inlineStr">
        <is>
          <t>NEEDS SOURCE TEXT</t>
        </is>
      </c>
      <c r="J39" s="3" t="inlineStr">
        <is>
          <t>Supply full source text: Cardinality, OSCAL element path.</t>
        </is>
      </c>
      <c r="K39" s="3" t="inlineStr">
        <is>
          <t>T01 + T03</t>
        </is>
      </c>
      <c r="L39" s="3" t="inlineStr"/>
      <c r="M39" s="3" t="inlineStr"/>
    </row>
    <row r="40">
      <c r="A40" s="3" t="inlineStr">
        <is>
          <t>40</t>
        </is>
      </c>
      <c r="B40" s="3" t="inlineStr">
        <is>
          <t>EVIDENCE_REPOSITORY</t>
        </is>
      </c>
      <c r="C40" s="3" t="inlineStr">
        <is>
          <t>Assessment Results</t>
        </is>
      </c>
      <c r="D40" s="3" t="inlineStr">
        <is>
          <t>assessment-results.result.finding.relevant-evide[CLIPPED]</t>
        </is>
      </c>
      <c r="E40" s="3" t="inlineStr">
        <is>
          <t>Direct</t>
        </is>
      </c>
      <c r="F40" s="3" t="inlineStr">
        <is>
          <t>Link to evidence repository</t>
        </is>
      </c>
      <c r="G40" s="3" t="inlineStr">
        <is>
          <t>Single</t>
        </is>
      </c>
      <c r="H40" s="3" t="inlineStr">
        <is>
          <t>VARCHAR</t>
        </is>
      </c>
      <c r="I40" s="3" t="inlineStr">
        <is>
          <t>NEEDS SOURCE TEXT</t>
        </is>
      </c>
      <c r="J40" s="3" t="inlineStr">
        <is>
          <t>Supply full source text: OSCAL element path.</t>
        </is>
      </c>
      <c r="K40" s="3" t="inlineStr">
        <is>
          <t>T01 + T03</t>
        </is>
      </c>
      <c r="L40" s="3" t="inlineStr"/>
      <c r="M40" s="3" t="inlineStr"/>
    </row>
    <row r="41">
      <c r="A41" s="3" t="inlineStr">
        <is>
          <t>41</t>
        </is>
      </c>
      <c r="B41" s="3" t="inlineStr">
        <is>
          <t>ATTACHMENTS</t>
        </is>
      </c>
      <c r="C41" s="3" t="inlineStr">
        <is>
          <t>Catalog - Back Matter</t>
        </is>
      </c>
      <c r="D41" s="3" t="inlineStr">
        <is>
          <t>catalog.back-matter.resource[@uuid].base64</t>
        </is>
      </c>
      <c r="E41" s="3" t="inlineStr">
        <is>
          <t>Direct</t>
        </is>
      </c>
      <c r="F41" s="3" t="inlineStr">
        <is>
          <t>Binary attachments as base64</t>
        </is>
      </c>
      <c r="G41" s="3" t="inlineStr">
        <is>
          <t>Single</t>
        </is>
      </c>
      <c r="H41" s="3" t="inlineStr">
        <is>
          <t>VARCHAR</t>
        </is>
      </c>
      <c r="I41" s="3" t="inlineStr">
        <is>
          <t>CORE TEXT CAPTURED</t>
        </is>
      </c>
      <c r="J41" s="3" t="inlineStr"/>
      <c r="K41" s="3" t="inlineStr">
        <is>
          <t>T01 + T03</t>
        </is>
      </c>
      <c r="L41" s="3" t="inlineStr"/>
      <c r="M41" s="3" t="inlineStr"/>
    </row>
    <row r="42">
      <c r="A42" s="3" t="inlineStr">
        <is>
          <t>42</t>
        </is>
      </c>
      <c r="B42" s="3" t="inlineStr">
        <is>
          <t>DEFAULT_RECORD_PERMISSIONS</t>
        </is>
      </c>
      <c r="C42" s="3" t="inlineStr">
        <is>
          <t>Catalog - Metadata</t>
        </is>
      </c>
      <c r="D42" s="3" t="inlineStr">
        <is>
          <t>catalog.metadata.role</t>
        </is>
      </c>
      <c r="E42" s="3" t="inlineStr">
        <is>
          <t>Extension Property</t>
        </is>
      </c>
      <c r="F42" s="3" t="inlineStr">
        <is>
          <t>Access control and permissions</t>
        </is>
      </c>
      <c r="G42" s="3" t="inlineStr">
        <is>
          <t>Multi (likely ref[CLIPPED]</t>
        </is>
      </c>
      <c r="H42" s="3" t="inlineStr">
        <is>
          <t>VARCHAR</t>
        </is>
      </c>
      <c r="I42" s="3" t="inlineStr">
        <is>
          <t>CORE TEXT CAPTURED</t>
        </is>
      </c>
      <c r="J42" s="3" t="inlineStr">
        <is>
          <t>Supply full source text: Cardinality.</t>
        </is>
      </c>
      <c r="K42" s="3" t="inlineStr">
        <is>
          <t>T01 + T03</t>
        </is>
      </c>
      <c r="L42" s="3" t="inlineStr"/>
      <c r="M42" s="3" t="inlineStr"/>
    </row>
    <row r="43">
      <c r="A43" s="3" t="inlineStr">
        <is>
          <t>43</t>
        </is>
      </c>
      <c r="B43" s="3" t="inlineStr">
        <is>
          <t>TOPIC_DATE_CREATED</t>
        </is>
      </c>
      <c r="C43" s="3" t="inlineStr">
        <is>
          <t>Catalog - Group</t>
        </is>
      </c>
      <c r="D43" s="3" t="inlineStr">
        <is>
          <t>catalog.group.prop[@name='date-created']</t>
        </is>
      </c>
      <c r="E43" s="3" t="inlineStr">
        <is>
          <t>Transform</t>
        </is>
      </c>
      <c r="F43" s="3" t="inlineStr">
        <is>
          <t>Topic creation date; convert to DateTimeWithTimezoneDatatype</t>
        </is>
      </c>
      <c r="G43" s="3" t="inlineStr">
        <is>
          <t>[NOT VISIBLE]</t>
        </is>
      </c>
      <c r="H43" s="3" t="inlineStr"/>
      <c r="I43" s="3" t="inlineStr">
        <is>
          <t>CORE TEXT CAPTURED</t>
        </is>
      </c>
      <c r="J43" s="3" t="inlineStr">
        <is>
          <t>Supply full source text: Cardinality, Archer data type not visible.</t>
        </is>
      </c>
      <c r="K43" s="3" t="inlineStr">
        <is>
          <t>T02 + T04</t>
        </is>
      </c>
      <c r="L43" s="3" t="inlineStr"/>
      <c r="M43" s="3" t="inlineStr"/>
    </row>
    <row r="44">
      <c r="A44" s="3" t="inlineStr">
        <is>
          <t>44</t>
        </is>
      </c>
      <c r="B44" s="3" t="inlineStr">
        <is>
          <t>TOPIC_LAST_UPDATED</t>
        </is>
      </c>
      <c r="C44" s="3" t="inlineStr">
        <is>
          <t>Catalog - Group</t>
        </is>
      </c>
      <c r="D44" s="3" t="inlineStr">
        <is>
          <t>catalog.group.prop[@name='last-updated']</t>
        </is>
      </c>
      <c r="E44" s="3" t="inlineStr">
        <is>
          <t>Transform</t>
        </is>
      </c>
      <c r="F44" s="3" t="inlineStr">
        <is>
          <t>Topic last-modified date; convert to DateTimeWithTimezoneDatatype</t>
        </is>
      </c>
      <c r="G44" s="3" t="inlineStr">
        <is>
          <t>[NOT VISIBLE]</t>
        </is>
      </c>
      <c r="H44" s="3" t="inlineStr"/>
      <c r="I44" s="3" t="inlineStr">
        <is>
          <t>CORE TEXT CAPTURED</t>
        </is>
      </c>
      <c r="J44" s="3" t="inlineStr">
        <is>
          <t>Supply full source text: Cardinality, Archer data type not visible.</t>
        </is>
      </c>
      <c r="K44" s="3" t="inlineStr">
        <is>
          <t>T02 + T04</t>
        </is>
      </c>
      <c r="L44" s="3" t="inlineStr"/>
      <c r="M44" s="3" t="inlineStr"/>
    </row>
    <row r="45">
      <c r="A45" s="3" t="inlineStr">
        <is>
          <t>45</t>
        </is>
      </c>
      <c r="B45" s="3" t="inlineStr">
        <is>
          <t>ARCHER_CONTENT_AUTHORITATIVE_SOURCES_TOPIC_FIRST_PUBLISHED</t>
        </is>
      </c>
      <c r="C45" s="3" t="inlineStr">
        <is>
          <t>Catalog - Metadata</t>
        </is>
      </c>
      <c r="D45" s="3" t="inlineStr">
        <is>
          <t>catalog.metadata.published</t>
        </is>
      </c>
      <c r="E45" s="3" t="inlineStr">
        <is>
          <t>Transform</t>
        </is>
      </c>
      <c r="F45" s="3" t="inlineStr">
        <is>
          <t>First publication in Archer; convert to DateTimeWithTimezoneDatatype</t>
        </is>
      </c>
      <c r="G45" s="3" t="inlineStr">
        <is>
          <t>[NOT VISIBLE]</t>
        </is>
      </c>
      <c r="H45" s="3" t="inlineStr"/>
      <c r="I45" s="3" t="inlineStr">
        <is>
          <t>CORE TEXT CAPTURED</t>
        </is>
      </c>
      <c r="J45" s="3" t="inlineStr">
        <is>
          <t>Supply full source text: Cardinality, Archer data type not visible.</t>
        </is>
      </c>
      <c r="K45" s="3" t="inlineStr">
        <is>
          <t>T02 + T04</t>
        </is>
      </c>
      <c r="L45" s="3" t="inlineStr"/>
      <c r="M45" s="3" t="inlineStr"/>
    </row>
    <row r="46">
      <c r="A46" s="3" t="inlineStr">
        <is>
          <t>46</t>
        </is>
      </c>
      <c r="B46" s="3" t="inlineStr">
        <is>
          <t>ARCHER_CONTENT_AUTHORITATIVE_SOURCES_TOPIC_LAST_UPDATED</t>
        </is>
      </c>
      <c r="C46" s="3" t="inlineStr">
        <is>
          <t>Catalog - Metadata</t>
        </is>
      </c>
      <c r="D46" s="3" t="inlineStr">
        <is>
          <t>catalog.metadata.last-modified</t>
        </is>
      </c>
      <c r="E46" s="3" t="inlineStr">
        <is>
          <t>Transform</t>
        </is>
      </c>
      <c r="F46" s="3" t="inlineStr">
        <is>
          <t>Last update in Archer; convert to DateTimeWithTimezoneDatatype</t>
        </is>
      </c>
      <c r="G46" s="3" t="inlineStr">
        <is>
          <t>[NOT VISIBLE]</t>
        </is>
      </c>
      <c r="H46" s="3" t="inlineStr"/>
      <c r="I46" s="3" t="inlineStr">
        <is>
          <t>CORE TEXT CAPTURED</t>
        </is>
      </c>
      <c r="J46" s="3" t="inlineStr">
        <is>
          <t>Supply full source text: Cardinality, Archer data type not visible.</t>
        </is>
      </c>
      <c r="K46" s="3" t="inlineStr">
        <is>
          <t>T02 + T04</t>
        </is>
      </c>
      <c r="L46" s="3" t="inlineStr"/>
      <c r="M46" s="3" t="inlineStr"/>
    </row>
    <row r="47">
      <c r="A47" s="3" t="inlineStr">
        <is>
          <t>47</t>
        </is>
      </c>
      <c r="B47" s="3" t="inlineStr">
        <is>
          <t>ARCHER_CONTENT_AUTHORITATIVE_SOURCES_TOPIC_CONFIRMED_IN_ARCHE[CLIPPED]</t>
        </is>
      </c>
      <c r="C47" s="3" t="inlineStr">
        <is>
          <t>Catalog - Group</t>
        </is>
      </c>
      <c r="D47" s="3" t="inlineStr">
        <is>
          <t>catalog.group.prop[@name='confirmed-date']</t>
        </is>
      </c>
      <c r="E47" s="3" t="inlineStr">
        <is>
          <t>Transform</t>
        </is>
      </c>
      <c r="F47" s="3" t="inlineStr">
        <is>
          <t>Confirmation/verification date; convert to DateTimeWithTimezoneDatatype</t>
        </is>
      </c>
      <c r="G47" s="3" t="inlineStr">
        <is>
          <t>[NOT VISIBLE]</t>
        </is>
      </c>
      <c r="H47" s="3" t="inlineStr"/>
      <c r="I47" s="3" t="inlineStr">
        <is>
          <t>NEEDS SOURCE TEXT</t>
        </is>
      </c>
      <c r="J47" s="3" t="inlineStr">
        <is>
          <t>Supply full source text: Archer field name, Cardinality, Archer data type not visible.</t>
        </is>
      </c>
      <c r="K47" s="3" t="inlineStr">
        <is>
          <t>T02 + T04</t>
        </is>
      </c>
      <c r="L47" s="3" t="inlineStr"/>
      <c r="M47" s="3" t="inlineStr"/>
    </row>
    <row r="48">
      <c r="A48" s="3" t="inlineStr">
        <is>
          <t>48</t>
        </is>
      </c>
      <c r="B48" s="3" t="inlineStr">
        <is>
          <t>INSERT_DATE</t>
        </is>
      </c>
      <c r="C48" s="3" t="inlineStr">
        <is>
          <t>N/A - System Metadata</t>
        </is>
      </c>
      <c r="D48" s="3" t="inlineStr"/>
      <c r="E48" s="3" t="inlineStr">
        <is>
          <t>System Metadata</t>
        </is>
      </c>
      <c r="F48" s="3" t="inlineStr">
        <is>
          <t>ETL/data warehouse field - not typically mapped to OSCAL</t>
        </is>
      </c>
      <c r="G48" s="3" t="inlineStr">
        <is>
          <t>[NOT VISIBLE]</t>
        </is>
      </c>
      <c r="H48" s="3" t="inlineStr"/>
      <c r="I48" s="3" t="inlineStr">
        <is>
          <t>CORE TEXT CAPTURED</t>
        </is>
      </c>
      <c r="J48" s="3" t="inlineStr">
        <is>
          <t>Supply full source text: Cardinality, Archer data type not visible.</t>
        </is>
      </c>
      <c r="K48" s="3" t="inlineStr">
        <is>
          <t>T02 + T04</t>
        </is>
      </c>
      <c r="L48" s="3" t="inlineStr"/>
      <c r="M48" s="3" t="inlineStr"/>
    </row>
    <row r="49">
      <c r="A49" s="3" t="inlineStr">
        <is>
          <t>49</t>
        </is>
      </c>
      <c r="B49" s="3" t="inlineStr">
        <is>
          <t>UPDATE_DATE</t>
        </is>
      </c>
      <c r="C49" s="3" t="inlineStr">
        <is>
          <t>N/A - System Metadata</t>
        </is>
      </c>
      <c r="D49" s="3" t="inlineStr"/>
      <c r="E49" s="3" t="inlineStr">
        <is>
          <t>System Metadata</t>
        </is>
      </c>
      <c r="F49" s="3" t="inlineStr">
        <is>
          <t>ETL/data warehouse field - not typically mapped to OSCAL</t>
        </is>
      </c>
      <c r="G49" s="3" t="inlineStr">
        <is>
          <t>[NOT VISIBLE]</t>
        </is>
      </c>
      <c r="H49" s="3" t="inlineStr"/>
      <c r="I49" s="3" t="inlineStr">
        <is>
          <t>CORE TEXT CAPTURED</t>
        </is>
      </c>
      <c r="J49" s="3" t="inlineStr">
        <is>
          <t>Supply full source text: Cardinality, Archer data type not visible.</t>
        </is>
      </c>
      <c r="K49" s="3" t="inlineStr">
        <is>
          <t>T02 + T04</t>
        </is>
      </c>
      <c r="L49" s="3" t="inlineStr"/>
      <c r="M49" s="3" t="inlineStr"/>
    </row>
    <row r="50">
      <c r="A50" s="3" t="inlineStr">
        <is>
          <t>50</t>
        </is>
      </c>
      <c r="B50" s="3" t="inlineStr">
        <is>
          <t>CHECKSUM_VALUE</t>
        </is>
      </c>
      <c r="C50" s="3" t="inlineStr">
        <is>
          <t>N/A - System Metadata</t>
        </is>
      </c>
      <c r="D50" s="3" t="inlineStr"/>
      <c r="E50" s="3" t="inlineStr">
        <is>
          <t>System Metadata</t>
        </is>
      </c>
      <c r="F50" s="3" t="inlineStr">
        <is>
          <t>Data integrity field - not typically mapped to OSCAL</t>
        </is>
      </c>
      <c r="G50" s="3" t="inlineStr">
        <is>
          <t>[NOT VISIBLE]</t>
        </is>
      </c>
      <c r="H50" s="3" t="inlineStr"/>
      <c r="I50" s="3" t="inlineStr">
        <is>
          <t>CORE TEXT CAPTURED</t>
        </is>
      </c>
      <c r="J50" s="3" t="inlineStr">
        <is>
          <t>Supply full source text: Cardinality, Archer data type not visible.</t>
        </is>
      </c>
      <c r="K50" s="3" t="inlineStr">
        <is>
          <t>T02 + T04</t>
        </is>
      </c>
      <c r="L50" s="3" t="inlineStr"/>
      <c r="M50" s="3" t="inlineStr"/>
    </row>
    <row r="51">
      <c r="A51" s="3" t="inlineStr">
        <is>
          <t>51</t>
        </is>
      </c>
      <c r="B51" s="3" t="inlineStr">
        <is>
          <t>_OF_NONCOMPLIANT_CONTROLS</t>
        </is>
      </c>
      <c r="C51" s="3" t="inlineStr">
        <is>
          <t>Assessment Results</t>
        </is>
      </c>
      <c r="D51" s="3" t="inlineStr">
        <is>
          <t>assessment-results.result.prop[@name='nonco[CLIPPED]</t>
        </is>
      </c>
      <c r="E51" s="3" t="inlineStr">
        <is>
          <t>Extension Property</t>
        </is>
      </c>
      <c r="F51" s="3" t="inlineStr">
        <is>
          <t>Appears to be duplicate/truncated field name - likely COUNT_OF_NONCOMPLIANT_CONTROLS or PCT_OF_NONCOMPLIANT_CONTROLS</t>
        </is>
      </c>
      <c r="G51" s="3" t="inlineStr">
        <is>
          <t>[NOT VISIBLE]</t>
        </is>
      </c>
      <c r="H51" s="3" t="inlineStr"/>
      <c r="I51" s="3" t="inlineStr">
        <is>
          <t>NEEDS SOURCE TEXT</t>
        </is>
      </c>
      <c r="J51" s="3" t="inlineStr">
        <is>
          <t>Supply full source text: Cardinality, OSCAL element path, Archer data type not visible.</t>
        </is>
      </c>
      <c r="K51" s="3" t="inlineStr">
        <is>
          <t>T02 + T04</t>
        </is>
      </c>
      <c r="L51" s="3" t="inlineStr"/>
      <c r="M51" s="3" t="inlineStr"/>
    </row>
    <row r="52">
      <c r="A52" s="3" t="inlineStr">
        <is>
          <t>52</t>
        </is>
      </c>
      <c r="B52" s="3" t="inlineStr">
        <is>
          <t>CONTROL_STANDARDS__FROM_SECTION_AND_SUBSECTION_LEVELS</t>
        </is>
      </c>
      <c r="C52" s="3" t="inlineStr">
        <is>
          <t>Catalog</t>
        </is>
      </c>
      <c r="D52" s="3" t="inlineStr">
        <is>
          <t>catalog.group.group.control[@id]</t>
        </is>
      </c>
      <c r="E52" s="3" t="inlineStr">
        <is>
          <t>Reference</t>
        </is>
      </c>
      <c r="F52" s="3" t="inlineStr">
        <is>
          <t>Duplicate field (extra underscore); appears same as CONTROL_STANDARDS_FROM_SECTION_AND_SUBSECTION_LEVELS - verify source</t>
        </is>
      </c>
      <c r="G52" s="3" t="inlineStr">
        <is>
          <t>[NOT VISIBLE]</t>
        </is>
      </c>
      <c r="H52" s="3" t="inlineStr"/>
      <c r="I52" s="3" t="inlineStr">
        <is>
          <t>CORE TEXT CAPTURED</t>
        </is>
      </c>
      <c r="J52" s="3" t="inlineStr">
        <is>
          <t>Supply full source text: Cardinality, Archer data type not visible.</t>
        </is>
      </c>
      <c r="K52" s="3" t="inlineStr">
        <is>
          <t>T02 + T04</t>
        </is>
      </c>
      <c r="L52" s="3" t="inlineStr"/>
      <c r="M52" s="3" t="inlineStr"/>
    </row>
    <row r="53">
      <c r="A53" s="3" t="inlineStr">
        <is>
          <t>53</t>
        </is>
      </c>
      <c r="B53" s="3" t="inlineStr">
        <is>
          <t>POLICY_LEVEL_3__FROM_SECTION_AND_SUBSECTION_LEVELS</t>
        </is>
      </c>
      <c r="C53" s="3" t="inlineStr">
        <is>
          <t>Component Definition</t>
        </is>
      </c>
      <c r="D53" s="3" t="inlineStr">
        <is>
          <t>component-definition.component.prop[@name=[CLIPPED]</t>
        </is>
      </c>
      <c r="E53" s="3" t="inlineStr">
        <is>
          <t>Extension Property</t>
        </is>
      </c>
      <c r="F53" s="3" t="inlineStr">
        <is>
          <t>Duplicate field (extra underscore); appears same as POLICY_LEVEL_3_FROM_SECTION_AND_SUBSECTION_LEVELS - verify source</t>
        </is>
      </c>
      <c r="G53" s="3" t="inlineStr">
        <is>
          <t>[NOT VISIBLE]</t>
        </is>
      </c>
      <c r="H53" s="3" t="inlineStr"/>
      <c r="I53" s="3" t="inlineStr">
        <is>
          <t>NEEDS SOURCE TEXT</t>
        </is>
      </c>
      <c r="J53" s="3" t="inlineStr">
        <is>
          <t>Supply full source text: Cardinality, OSCAL element path, Archer data type not visible.</t>
        </is>
      </c>
      <c r="K53" s="3" t="inlineStr">
        <is>
          <t>T02 + T04</t>
        </is>
      </c>
      <c r="L53" s="3" t="inlineStr"/>
      <c r="M53" s="3" t="inlineStr"/>
    </row>
  </sheetData>
  <autoFilter ref="A1:M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46" customWidth="1" min="4" max="4"/>
    <col width="20" customWidth="1" min="5" max="5"/>
    <col width="44" customWidth="1" min="6" max="6"/>
    <col width="20" customWidth="1" min="7" max="7"/>
    <col width="18" customWidth="1" min="8" max="8"/>
    <col width="22" customWidth="1" min="9" max="9"/>
    <col width="34" customWidth="1" min="10" max="10"/>
    <col width="18" customWidth="1" min="11" max="11"/>
    <col width="36" customWidth="1" min="12" max="12"/>
    <col width="24" customWidth="1" min="13" max="13"/>
  </cols>
  <sheetData>
    <row r="1">
      <c r="A1" s="1" t="inlineStr">
        <is>
          <t>Worksheet row</t>
        </is>
      </c>
      <c r="B1" s="1" t="inlineStr">
        <is>
          <t>Archer field name</t>
        </is>
      </c>
      <c r="C1" s="1" t="inlineStr">
        <is>
          <t>OSCAL model</t>
        </is>
      </c>
      <c r="D1" s="1" t="inlineStr">
        <is>
          <t>OSCAL element path</t>
        </is>
      </c>
      <c r="E1" s="1" t="inlineStr">
        <is>
          <t>Mapping type</t>
        </is>
      </c>
      <c r="F1" s="1" t="inlineStr">
        <is>
          <t>Original Notes</t>
        </is>
      </c>
      <c r="G1" s="1" t="inlineStr">
        <is>
          <t>Cardinality</t>
        </is>
      </c>
      <c r="H1" s="1" t="inlineStr">
        <is>
          <t>Archer data type</t>
        </is>
      </c>
      <c r="I1" s="1" t="inlineStr">
        <is>
          <t>Transcription status</t>
        </is>
      </c>
      <c r="J1" s="1" t="inlineStr">
        <is>
          <t>Clarification needed</t>
        </is>
      </c>
      <c r="K1" s="1" t="inlineStr">
        <is>
          <t>Evidence</t>
        </is>
      </c>
      <c r="L1" s="1" t="inlineStr">
        <is>
          <t>Transformation logic</t>
        </is>
      </c>
      <c r="M1" s="1" t="inlineStr">
        <is>
          <t>OSCAL data type</t>
        </is>
      </c>
    </row>
    <row r="2">
      <c r="A2" s="3" t="inlineStr">
        <is>
          <t>2</t>
        </is>
      </c>
      <c r="B2" s="3" t="inlineStr">
        <is>
          <t>SECTION_NAME</t>
        </is>
      </c>
      <c r="C2" s="3" t="inlineStr">
        <is>
          <t>Catalog - Group</t>
        </is>
      </c>
      <c r="D2" s="3" t="inlineStr">
        <is>
          <t>catalog.group[@id].title</t>
        </is>
      </c>
      <c r="E2" s="3" t="inlineStr">
        <is>
          <t>Direct</t>
        </is>
      </c>
      <c r="F2" s="3" t="inlineStr">
        <is>
          <t>Title of the section (group)</t>
        </is>
      </c>
      <c r="G2" s="3" t="inlineStr">
        <is>
          <t>Single</t>
        </is>
      </c>
      <c r="H2" s="3" t="inlineStr">
        <is>
          <t>VARCHAR</t>
        </is>
      </c>
      <c r="I2" s="3" t="inlineStr">
        <is>
          <t>CORE TEXT CAPTURED</t>
        </is>
      </c>
      <c r="J2" s="3" t="inlineStr"/>
      <c r="K2" s="3" t="inlineStr">
        <is>
          <t>SEC01</t>
        </is>
      </c>
      <c r="L2" s="3" t="inlineStr"/>
      <c r="M2" s="3" t="inlineStr"/>
    </row>
    <row r="3">
      <c r="A3" s="3" t="inlineStr">
        <is>
          <t>3</t>
        </is>
      </c>
      <c r="B3" s="3" t="inlineStr">
        <is>
          <t>SECTION_ID</t>
        </is>
      </c>
      <c r="C3" s="3" t="inlineStr">
        <is>
          <t>Catalog - Group</t>
        </is>
      </c>
      <c r="D3" s="3" t="inlineStr">
        <is>
          <t>catalog.group.@id</t>
        </is>
      </c>
      <c r="E3" s="3" t="inlineStr">
        <is>
          <t>Transform</t>
        </is>
      </c>
      <c r="F3" s="3" t="inlineStr">
        <is>
          <t>Group identifier; normalize to a valid OSCAL token</t>
        </is>
      </c>
      <c r="G3" s="3" t="inlineStr">
        <is>
          <t>Single</t>
        </is>
      </c>
      <c r="H3" s="3" t="inlineStr">
        <is>
          <t>VARCHAR</t>
        </is>
      </c>
      <c r="I3" s="3" t="inlineStr">
        <is>
          <t>CORE TEXT CAPTURED</t>
        </is>
      </c>
      <c r="J3" s="3" t="inlineStr"/>
      <c r="K3" s="3" t="inlineStr">
        <is>
          <t>SEC01</t>
        </is>
      </c>
      <c r="L3" s="3" t="inlineStr"/>
      <c r="M3" s="3" t="inlineStr"/>
    </row>
    <row r="4">
      <c r="A4" s="3" t="inlineStr">
        <is>
          <t>4</t>
        </is>
      </c>
      <c r="B4" s="3" t="inlineStr">
        <is>
          <t>SECTION_TRACKING_ID</t>
        </is>
      </c>
      <c r="C4" s="3" t="inlineStr">
        <is>
          <t>Catalog - Group</t>
        </is>
      </c>
      <c r="D4" s="3" t="inlineStr">
        <is>
          <t>catalog.group.prop[@name='tracking-id']</t>
        </is>
      </c>
      <c r="E4" s="3" t="inlineStr">
        <is>
          <t>Extension Property</t>
        </is>
      </c>
      <c r="F4" s="3" t="inlineStr">
        <is>
          <t>Numeric tracking ID; store as property</t>
        </is>
      </c>
      <c r="G4" s="3" t="inlineStr">
        <is>
          <t>Single</t>
        </is>
      </c>
      <c r="H4" s="3" t="inlineStr">
        <is>
          <t>DECIMAL</t>
        </is>
      </c>
      <c r="I4" s="3" t="inlineStr">
        <is>
          <t>CORE TEXT CAPTURED</t>
        </is>
      </c>
      <c r="J4" s="3" t="inlineStr"/>
      <c r="K4" s="3" t="inlineStr">
        <is>
          <t>SEC01</t>
        </is>
      </c>
      <c r="L4" s="3" t="inlineStr"/>
      <c r="M4" s="3" t="inlineStr"/>
    </row>
    <row r="5">
      <c r="A5" s="3" t="inlineStr">
        <is>
          <t>5</t>
        </is>
      </c>
      <c r="B5" s="3" t="inlineStr">
        <is>
          <t>SECTION_DESCRIPTION</t>
        </is>
      </c>
      <c r="C5" s="3" t="inlineStr">
        <is>
          <t>Catalog - Group</t>
        </is>
      </c>
      <c r="D5" s="3" t="inlineStr">
        <is>
          <t>catalog.group.part[@name='overview'].prose</t>
        </is>
      </c>
      <c r="E5" s="3" t="inlineStr">
        <is>
          <t>Direct</t>
        </is>
      </c>
      <c r="F5" s="3" t="inlineStr">
        <is>
          <t>Full section description</t>
        </is>
      </c>
      <c r="G5" s="3" t="inlineStr">
        <is>
          <t>Single</t>
        </is>
      </c>
      <c r="H5" s="3" t="inlineStr">
        <is>
          <t>VARCHAR</t>
        </is>
      </c>
      <c r="I5" s="3" t="inlineStr">
        <is>
          <t>CORE TEXT CAPTURED</t>
        </is>
      </c>
      <c r="J5" s="3" t="inlineStr"/>
      <c r="K5" s="3" t="inlineStr">
        <is>
          <t>SEC01</t>
        </is>
      </c>
      <c r="L5" s="3" t="inlineStr"/>
      <c r="M5" s="3" t="inlineStr"/>
    </row>
    <row r="6">
      <c r="A6" s="3" t="inlineStr">
        <is>
          <t>6</t>
        </is>
      </c>
      <c r="B6" s="3" t="inlineStr">
        <is>
          <t>SECTION_SHORT_DESCRIPTION</t>
        </is>
      </c>
      <c r="C6" s="3" t="inlineStr">
        <is>
          <t>Catalog - Group</t>
        </is>
      </c>
      <c r="D6" s="3" t="inlineStr">
        <is>
          <t>catalog.group.prop[@name='short-description[CLIPPED]</t>
        </is>
      </c>
      <c r="E6" s="3" t="inlineStr">
        <is>
          <t>Extension Property</t>
        </is>
      </c>
      <c r="F6" s="3" t="inlineStr">
        <is>
          <t>Short section description</t>
        </is>
      </c>
      <c r="G6" s="3" t="inlineStr">
        <is>
          <t>Single</t>
        </is>
      </c>
      <c r="H6" s="3" t="inlineStr">
        <is>
          <t>VARCHAR</t>
        </is>
      </c>
      <c r="I6" s="3" t="inlineStr">
        <is>
          <t>NEEDS SOURCE TEXT</t>
        </is>
      </c>
      <c r="J6" s="3" t="inlineStr">
        <is>
          <t>Supply full source text: OSCAL element path.</t>
        </is>
      </c>
      <c r="K6" s="3" t="inlineStr">
        <is>
          <t>SEC01</t>
        </is>
      </c>
      <c r="L6" s="3" t="inlineStr"/>
      <c r="M6" s="3" t="inlineStr"/>
    </row>
    <row r="7">
      <c r="A7" s="3" t="inlineStr">
        <is>
          <t>7</t>
        </is>
      </c>
      <c r="B7" s="3" t="inlineStr">
        <is>
          <t>SOURCE_NAME</t>
        </is>
      </c>
      <c r="C7" s="3" t="inlineStr">
        <is>
          <t>Catalog - Metada[CLIPPED]</t>
        </is>
      </c>
      <c r="D7" s="3" t="inlineStr">
        <is>
          <t>catalog.metadata.title</t>
        </is>
      </c>
      <c r="E7" s="3" t="inlineStr">
        <is>
          <t>Reference</t>
        </is>
      </c>
      <c r="F7" s="3" t="inlineStr">
        <is>
          <t>Parent authoritative source (catalog) title; links section to its source</t>
        </is>
      </c>
      <c r="G7" s="3" t="inlineStr">
        <is>
          <t>Single</t>
        </is>
      </c>
      <c r="H7" s="3" t="inlineStr">
        <is>
          <t>VARCHAR</t>
        </is>
      </c>
      <c r="I7" s="3" t="inlineStr">
        <is>
          <t>NEEDS SOURCE TEXT</t>
        </is>
      </c>
      <c r="J7" s="3" t="inlineStr">
        <is>
          <t>Supply full source text: OSCAL model.</t>
        </is>
      </c>
      <c r="K7" s="3" t="inlineStr">
        <is>
          <t>SEC01</t>
        </is>
      </c>
      <c r="L7" s="3" t="inlineStr"/>
      <c r="M7" s="3" t="inlineStr"/>
    </row>
    <row r="8">
      <c r="A8" s="3" t="inlineStr">
        <is>
          <t>8</t>
        </is>
      </c>
      <c r="B8" s="3" t="inlineStr">
        <is>
          <t>TOPIC_NAME</t>
        </is>
      </c>
      <c r="C8" s="3" t="inlineStr">
        <is>
          <t>Catalog - Group</t>
        </is>
      </c>
      <c r="D8" s="3" t="inlineStr">
        <is>
          <t>catalog.group.prop[@name='topic']</t>
        </is>
      </c>
      <c r="E8" s="3" t="inlineStr">
        <is>
          <t>Extension Property</t>
        </is>
      </c>
      <c r="F8" s="3" t="inlineStr">
        <is>
          <t>Associated topic name</t>
        </is>
      </c>
      <c r="G8" s="3" t="inlineStr">
        <is>
          <t>Single</t>
        </is>
      </c>
      <c r="H8" s="3" t="inlineStr">
        <is>
          <t>VARCHAR</t>
        </is>
      </c>
      <c r="I8" s="3" t="inlineStr">
        <is>
          <t>CORE TEXT CAPTURED</t>
        </is>
      </c>
      <c r="J8" s="3" t="inlineStr"/>
      <c r="K8" s="3" t="inlineStr">
        <is>
          <t>SEC01</t>
        </is>
      </c>
      <c r="L8" s="3" t="inlineStr"/>
      <c r="M8" s="3" t="inlineStr"/>
    </row>
    <row r="9">
      <c r="A9" s="3" t="inlineStr">
        <is>
          <t>9</t>
        </is>
      </c>
      <c r="B9" s="3" t="inlineStr">
        <is>
          <t>CONTENT_SOURCE</t>
        </is>
      </c>
      <c r="C9" s="3" t="inlineStr">
        <is>
          <t>Catalog - Group</t>
        </is>
      </c>
      <c r="D9" s="3" t="inlineStr">
        <is>
          <t>catalog.group.prop[@name='content-source']</t>
        </is>
      </c>
      <c r="E9" s="3" t="inlineStr">
        <is>
          <t>Extension Property</t>
        </is>
      </c>
      <c r="F9" s="3" t="inlineStr">
        <is>
          <t>Origin system of the content</t>
        </is>
      </c>
      <c r="G9" s="3" t="inlineStr">
        <is>
          <t>Single</t>
        </is>
      </c>
      <c r="H9" s="3" t="inlineStr">
        <is>
          <t>VARCHAR</t>
        </is>
      </c>
      <c r="I9" s="3" t="inlineStr">
        <is>
          <t>CORE TEXT CAPTURED</t>
        </is>
      </c>
      <c r="J9" s="3" t="inlineStr"/>
      <c r="K9" s="3" t="inlineStr">
        <is>
          <t>SEC01</t>
        </is>
      </c>
      <c r="L9" s="3" t="inlineStr"/>
      <c r="M9" s="3" t="inlineStr"/>
    </row>
    <row r="10">
      <c r="A10" s="3" t="inlineStr">
        <is>
          <t>10</t>
        </is>
      </c>
      <c r="B10" s="3" t="inlineStr">
        <is>
          <t>ARCHER_CONTENT_AUTHORITATIVE_SOURCES_SECTION_CONTENT_ID</t>
        </is>
      </c>
      <c r="C10" s="3" t="inlineStr">
        <is>
          <t>Catalog - Group</t>
        </is>
      </c>
      <c r="D10" s="3" t="inlineStr">
        <is>
          <t>catalog.group.prop[@name='archer-content-id[CLIPPED]</t>
        </is>
      </c>
      <c r="E10" s="3" t="inlineStr">
        <is>
          <t>Extension Property</t>
        </is>
      </c>
      <c r="F10" s="3" t="inlineStr">
        <is>
          <t>Original Archer content identifier for reference and traceability</t>
        </is>
      </c>
      <c r="G10" s="3" t="inlineStr">
        <is>
          <t>Single</t>
        </is>
      </c>
      <c r="H10" s="3" t="inlineStr">
        <is>
          <t>DECIMAL</t>
        </is>
      </c>
      <c r="I10" s="3" t="inlineStr">
        <is>
          <t>NEEDS SOURCE TEXT</t>
        </is>
      </c>
      <c r="J10" s="3" t="inlineStr">
        <is>
          <t>Supply full source text: OSCAL element path.</t>
        </is>
      </c>
      <c r="K10" s="3" t="inlineStr">
        <is>
          <t>SEC01</t>
        </is>
      </c>
      <c r="L10" s="3" t="inlineStr"/>
      <c r="M10" s="3" t="inlineStr"/>
    </row>
    <row r="11">
      <c r="A11" s="3" t="inlineStr">
        <is>
          <t>11</t>
        </is>
      </c>
      <c r="B11" s="3" t="inlineStr">
        <is>
          <t>SUB_SECTION_REFERENCES</t>
        </is>
      </c>
      <c r="C11" s="3" t="inlineStr">
        <is>
          <t>Catalog</t>
        </is>
      </c>
      <c r="D11" s="3" t="inlineStr">
        <is>
          <t>catalog.group.group[@id]</t>
        </is>
      </c>
      <c r="E11" s="3" t="inlineStr">
        <is>
          <t>Reference</t>
        </is>
      </c>
      <c r="F11" s="3" t="inlineStr">
        <is>
          <t>Child sub-sections represented as nested groups</t>
        </is>
      </c>
      <c r="G11" s="3" t="inlineStr">
        <is>
          <t>Multi (likely re[CLIPPED]</t>
        </is>
      </c>
      <c r="H11" s="3" t="inlineStr">
        <is>
          <t>VARCHAR</t>
        </is>
      </c>
      <c r="I11" s="3" t="inlineStr">
        <is>
          <t>CORE TEXT CAPTURED</t>
        </is>
      </c>
      <c r="J11" s="3" t="inlineStr">
        <is>
          <t>Supply full source text: Cardinality.</t>
        </is>
      </c>
      <c r="K11" s="3" t="inlineStr">
        <is>
          <t>SEC01</t>
        </is>
      </c>
      <c r="L11" s="3" t="inlineStr"/>
      <c r="M11" s="3" t="inlineStr"/>
    </row>
    <row r="12">
      <c r="A12" s="3" t="inlineStr">
        <is>
          <t>12</t>
        </is>
      </c>
      <c r="B12" s="3" t="inlineStr">
        <is>
          <t>TOPIC_REFERENCES</t>
        </is>
      </c>
      <c r="C12" s="3" t="inlineStr">
        <is>
          <t>Catalog</t>
        </is>
      </c>
      <c r="D12" s="3" t="inlineStr">
        <is>
          <t>catalog.group.link[@rel='reference']</t>
        </is>
      </c>
      <c r="E12" s="3" t="inlineStr">
        <is>
          <t>Reference</t>
        </is>
      </c>
      <c r="F12" s="3" t="inlineStr">
        <is>
          <t>References to related topics or documentation</t>
        </is>
      </c>
      <c r="G12" s="3" t="inlineStr">
        <is>
          <t>Multi (likely re[CLIPPED]</t>
        </is>
      </c>
      <c r="H12" s="3" t="inlineStr">
        <is>
          <t>VARCHAR</t>
        </is>
      </c>
      <c r="I12" s="3" t="inlineStr">
        <is>
          <t>CORE TEXT CAPTURED</t>
        </is>
      </c>
      <c r="J12" s="3" t="inlineStr">
        <is>
          <t>Supply full source text: Cardinality.</t>
        </is>
      </c>
      <c r="K12" s="3" t="inlineStr">
        <is>
          <t>SEC01</t>
        </is>
      </c>
      <c r="L12" s="3" t="inlineStr"/>
      <c r="M12" s="3" t="inlineStr"/>
    </row>
    <row r="13">
      <c r="A13" s="3" t="inlineStr">
        <is>
          <t>13</t>
        </is>
      </c>
      <c r="B13" s="3" t="inlineStr">
        <is>
          <t>TOTAL_NUMBER_OF_SUB_SECTIONS</t>
        </is>
      </c>
      <c r="C13" s="3" t="inlineStr">
        <is>
          <t>Catalog - Group</t>
        </is>
      </c>
      <c r="D13" s="3" t="inlineStr">
        <is>
          <t>catalog.group.prop[@name='sub-section-count[CLIPPED]</t>
        </is>
      </c>
      <c r="E13" s="3" t="inlineStr">
        <is>
          <t>Extension Property</t>
        </is>
      </c>
      <c r="F13" s="3" t="inlineStr">
        <is>
          <t>Count of sub-sections</t>
        </is>
      </c>
      <c r="G13" s="3" t="inlineStr">
        <is>
          <t>Single</t>
        </is>
      </c>
      <c r="H13" s="3" t="inlineStr">
        <is>
          <t>DECIMAL</t>
        </is>
      </c>
      <c r="I13" s="3" t="inlineStr">
        <is>
          <t>NEEDS SOURCE TEXT</t>
        </is>
      </c>
      <c r="J13" s="3" t="inlineStr">
        <is>
          <t>Supply full source text: OSCAL element path.</t>
        </is>
      </c>
      <c r="K13" s="3" t="inlineStr">
        <is>
          <t>SEC01</t>
        </is>
      </c>
      <c r="L13" s="3" t="inlineStr"/>
      <c r="M13" s="3" t="inlineStr"/>
    </row>
    <row r="14">
      <c r="A14" s="3" t="inlineStr">
        <is>
          <t>14</t>
        </is>
      </c>
      <c r="B14" s="3" t="inlineStr">
        <is>
          <t>SECTION_MAPPING_STATUS</t>
        </is>
      </c>
      <c r="C14" s="3" t="inlineStr">
        <is>
          <t>Catalog - Group</t>
        </is>
      </c>
      <c r="D14" s="3" t="inlineStr">
        <is>
          <t>catalog.group.prop[@name='mapping-status']</t>
        </is>
      </c>
      <c r="E14" s="3" t="inlineStr">
        <is>
          <t>Extension Property</t>
        </is>
      </c>
      <c r="F14" s="3" t="inlineStr">
        <is>
          <t>Status of section-to-control mapping</t>
        </is>
      </c>
      <c r="G14" s="3" t="inlineStr">
        <is>
          <t>Single</t>
        </is>
      </c>
      <c r="H14" s="3" t="inlineStr">
        <is>
          <t>VARCHAR</t>
        </is>
      </c>
      <c r="I14" s="3" t="inlineStr">
        <is>
          <t>CORE TEXT CAPTURED</t>
        </is>
      </c>
      <c r="J14" s="3" t="inlineStr"/>
      <c r="K14" s="3" t="inlineStr">
        <is>
          <t>SEC01</t>
        </is>
      </c>
      <c r="L14" s="3" t="inlineStr"/>
      <c r="M14" s="3" t="inlineStr"/>
    </row>
    <row r="15">
      <c r="A15" s="3" t="inlineStr">
        <is>
          <t>15</t>
        </is>
      </c>
      <c r="B15" s="3" t="inlineStr">
        <is>
          <t>CONTROL_STANDARDS</t>
        </is>
      </c>
      <c r="C15" s="3" t="inlineStr">
        <is>
          <t>Catalog</t>
        </is>
      </c>
      <c r="D15" s="3" t="inlineStr">
        <is>
          <t>catalog.group.control[@id]</t>
        </is>
      </c>
      <c r="E15" s="3" t="inlineStr">
        <is>
          <t>Reference</t>
        </is>
      </c>
      <c r="F15" s="3" t="inlineStr">
        <is>
          <t>Control standards within this section</t>
        </is>
      </c>
      <c r="G15" s="3" t="inlineStr">
        <is>
          <t>Multi (likely re[CLIPPED]</t>
        </is>
      </c>
      <c r="H15" s="3" t="inlineStr">
        <is>
          <t>VARCHAR</t>
        </is>
      </c>
      <c r="I15" s="3" t="inlineStr">
        <is>
          <t>CORE TEXT CAPTURED</t>
        </is>
      </c>
      <c r="J15" s="3" t="inlineStr">
        <is>
          <t>Supply full source text: Cardinality.</t>
        </is>
      </c>
      <c r="K15" s="3" t="inlineStr">
        <is>
          <t>SEC01</t>
        </is>
      </c>
      <c r="L15" s="3" t="inlineStr"/>
      <c r="M15" s="3" t="inlineStr"/>
    </row>
    <row r="16">
      <c r="A16" s="3" t="inlineStr">
        <is>
          <t>16</t>
        </is>
      </c>
      <c r="B16" s="3" t="inlineStr">
        <is>
          <t>CONTROL_STANDARDS_FROM_SECTION_LEVEL_AND_BELOW</t>
        </is>
      </c>
      <c r="C16" s="3" t="inlineStr">
        <is>
          <t>Catalog</t>
        </is>
      </c>
      <c r="D16" s="3" t="inlineStr">
        <is>
          <t>catalog.group.control[@id] + catalog.group.gro[CLIPPED]</t>
        </is>
      </c>
      <c r="E16" s="3" t="inlineStr">
        <is>
          <t>Reference</t>
        </is>
      </c>
      <c r="F16" s="3" t="inlineStr">
        <is>
          <t>Controls at this section and all descendant sub-sections</t>
        </is>
      </c>
      <c r="G16" s="3" t="inlineStr">
        <is>
          <t>Multi (likely re[CLIPPED]</t>
        </is>
      </c>
      <c r="H16" s="3" t="inlineStr">
        <is>
          <t>VARCHAR</t>
        </is>
      </c>
      <c r="I16" s="3" t="inlineStr">
        <is>
          <t>NEEDS SOURCE TEXT</t>
        </is>
      </c>
      <c r="J16" s="3" t="inlineStr">
        <is>
          <t>Supply full source text: Cardinality, OSCAL element path.</t>
        </is>
      </c>
      <c r="K16" s="3" t="inlineStr">
        <is>
          <t>SEC01</t>
        </is>
      </c>
      <c r="L16" s="3" t="inlineStr"/>
      <c r="M16" s="3" t="inlineStr"/>
    </row>
    <row r="17">
      <c r="A17" s="3" t="inlineStr">
        <is>
          <t>17</t>
        </is>
      </c>
      <c r="B17" s="3" t="inlineStr">
        <is>
          <t>CONTROL_STANDARDS__FROM_SECTION_LEVEL_AND_BELOW</t>
        </is>
      </c>
      <c r="C17" s="3" t="inlineStr">
        <is>
          <t>Catalog</t>
        </is>
      </c>
      <c r="D17" s="3" t="inlineStr">
        <is>
          <t>catalog.group.control[@id]</t>
        </is>
      </c>
      <c r="E17" s="3" t="inlineStr">
        <is>
          <t>Reference</t>
        </is>
      </c>
      <c r="F17" s="3" t="inlineStr">
        <is>
          <t>Duplicate field (extra underscore); appears same as CONTROL_STANDARDS_FROM_SECTION_LEVEL_AND_[CLIPPED]</t>
        </is>
      </c>
      <c r="G17" s="3" t="inlineStr">
        <is>
          <t>Multi (likely re[CLIPPED]</t>
        </is>
      </c>
      <c r="H17" s="3" t="inlineStr">
        <is>
          <t>VARCHAR</t>
        </is>
      </c>
      <c r="I17" s="3" t="inlineStr">
        <is>
          <t>NEEDS SOURCE TEXT</t>
        </is>
      </c>
      <c r="J17" s="3" t="inlineStr">
        <is>
          <t>Supply full source text: Cardinality, Original Notes.</t>
        </is>
      </c>
      <c r="K17" s="3" t="inlineStr">
        <is>
          <t>SEC01</t>
        </is>
      </c>
      <c r="L17" s="3" t="inlineStr"/>
      <c r="M17" s="3" t="inlineStr"/>
    </row>
    <row r="18">
      <c r="A18" s="3" t="inlineStr">
        <is>
          <t>18</t>
        </is>
      </c>
      <c r="B18" s="3" t="inlineStr">
        <is>
          <t>MASTER_CONTROLS_AUTHORITATIVE_SOURCES</t>
        </is>
      </c>
      <c r="C18" s="3" t="inlineStr">
        <is>
          <t>Catalog</t>
        </is>
      </c>
      <c r="D18" s="3" t="inlineStr">
        <is>
          <t>catalog.control[@id].link[@rel='related']</t>
        </is>
      </c>
      <c r="E18" s="3" t="inlineStr">
        <is>
          <t>Reference</t>
        </is>
      </c>
      <c r="F18" s="3" t="inlineStr">
        <is>
          <t>Relationship to master control definitions</t>
        </is>
      </c>
      <c r="G18" s="3" t="inlineStr">
        <is>
          <t>Multi (likely re[CLIPPED]</t>
        </is>
      </c>
      <c r="H18" s="3" t="inlineStr">
        <is>
          <t>VARCHAR</t>
        </is>
      </c>
      <c r="I18" s="3" t="inlineStr">
        <is>
          <t>CORE TEXT CAPTURED</t>
        </is>
      </c>
      <c r="J18" s="3" t="inlineStr">
        <is>
          <t>Supply full source text: Cardinality.</t>
        </is>
      </c>
      <c r="K18" s="3" t="inlineStr">
        <is>
          <t>SEC01</t>
        </is>
      </c>
      <c r="L18" s="3" t="inlineStr"/>
      <c r="M18" s="3" t="inlineStr"/>
    </row>
    <row r="19">
      <c r="A19" s="3" t="inlineStr">
        <is>
          <t>19</t>
        </is>
      </c>
      <c r="B19" s="3" t="inlineStr">
        <is>
          <t>CONTROL_PROCEDURES</t>
        </is>
      </c>
      <c r="C19" s="3" t="inlineStr">
        <is>
          <t>Catalog or Compo[CLIPPED]</t>
        </is>
      </c>
      <c r="D19" s="3" t="inlineStr">
        <is>
          <t>catalog.control[@id].part[@name='statement']</t>
        </is>
      </c>
      <c r="E19" s="3" t="inlineStr">
        <is>
          <t>Direct</t>
        </is>
      </c>
      <c r="F19" s="3" t="inlineStr">
        <is>
          <t>Procedures for implementing controls</t>
        </is>
      </c>
      <c r="G19" s="3" t="inlineStr">
        <is>
          <t>Single</t>
        </is>
      </c>
      <c r="H19" s="3" t="inlineStr">
        <is>
          <t>VARCHAR</t>
        </is>
      </c>
      <c r="I19" s="3" t="inlineStr">
        <is>
          <t>NEEDS SOURCE TEXT</t>
        </is>
      </c>
      <c r="J19" s="3" t="inlineStr">
        <is>
          <t>Supply full source text: OSCAL model.</t>
        </is>
      </c>
      <c r="K19" s="3" t="inlineStr">
        <is>
          <t>SEC01</t>
        </is>
      </c>
      <c r="L19" s="3" t="inlineStr"/>
      <c r="M19" s="3" t="inlineStr"/>
    </row>
    <row r="20">
      <c r="A20" s="3" t="inlineStr">
        <is>
          <t>20</t>
        </is>
      </c>
      <c r="B20" s="3" t="inlineStr">
        <is>
          <t>RELATED_CONTROL_PROCEDURES</t>
        </is>
      </c>
      <c r="C20" s="3" t="inlineStr">
        <is>
          <t>Catalog</t>
        </is>
      </c>
      <c r="D20" s="3" t="inlineStr">
        <is>
          <t>catalog.control[@id].link[@rel='related']</t>
        </is>
      </c>
      <c r="E20" s="3" t="inlineStr">
        <is>
          <t>Reference</t>
        </is>
      </c>
      <c r="F20" s="3" t="inlineStr">
        <is>
          <t>Cross-references to related procedures</t>
        </is>
      </c>
      <c r="G20" s="3" t="inlineStr">
        <is>
          <t>Multi (likely re[CLIPPED]</t>
        </is>
      </c>
      <c r="H20" s="3" t="inlineStr">
        <is>
          <t>VARCHAR</t>
        </is>
      </c>
      <c r="I20" s="3" t="inlineStr">
        <is>
          <t>CORE TEXT CAPTURED</t>
        </is>
      </c>
      <c r="J20" s="3" t="inlineStr">
        <is>
          <t>Supply full source text: Cardinality.</t>
        </is>
      </c>
      <c r="K20" s="3" t="inlineStr">
        <is>
          <t>SEC01</t>
        </is>
      </c>
      <c r="L20" s="3" t="inlineStr"/>
      <c r="M20" s="3" t="inlineStr"/>
    </row>
    <row r="21">
      <c r="A21" s="3" t="inlineStr">
        <is>
          <t>21</t>
        </is>
      </c>
      <c r="B21" s="3" t="inlineStr">
        <is>
          <t>NUMBER_OF_CONTROL_STANDARDS_SECTION_LEVEL</t>
        </is>
      </c>
      <c r="C21" s="3" t="inlineStr">
        <is>
          <t>Catalog - Group</t>
        </is>
      </c>
      <c r="D21" s="3" t="inlineStr">
        <is>
          <t>catalog.group.prop[@name='control-count']</t>
        </is>
      </c>
      <c r="E21" s="3" t="inlineStr">
        <is>
          <t>Extension Property</t>
        </is>
      </c>
      <c r="F21" s="3" t="inlineStr">
        <is>
          <t>Count of controls at section level</t>
        </is>
      </c>
      <c r="G21" s="3" t="inlineStr">
        <is>
          <t>Single</t>
        </is>
      </c>
      <c r="H21" s="3" t="inlineStr">
        <is>
          <t>DECIMAL</t>
        </is>
      </c>
      <c r="I21" s="3" t="inlineStr">
        <is>
          <t>CORE TEXT CAPTURED</t>
        </is>
      </c>
      <c r="J21" s="3" t="inlineStr"/>
      <c r="K21" s="3" t="inlineStr">
        <is>
          <t>SEC01</t>
        </is>
      </c>
      <c r="L21" s="3" t="inlineStr"/>
      <c r="M21" s="3" t="inlineStr"/>
    </row>
    <row r="22">
      <c r="A22" s="3" t="inlineStr">
        <is>
          <t>22</t>
        </is>
      </c>
      <c r="B22" s="3" t="inlineStr">
        <is>
          <t>COMPLIANCE_RATING</t>
        </is>
      </c>
      <c r="C22" s="3" t="inlineStr">
        <is>
          <t>Assessment Resu[CLIPPED]</t>
        </is>
      </c>
      <c r="D22" s="3" t="inlineStr">
        <is>
          <t>assessment-results.result.reviewed-controls.c[CLIPPED]</t>
        </is>
      </c>
      <c r="E22" s="3" t="inlineStr">
        <is>
          <t>Extension Property</t>
        </is>
      </c>
      <c r="F22" s="3" t="inlineStr">
        <is>
          <t>Overall compliance rating for the section</t>
        </is>
      </c>
      <c r="G22" s="3" t="inlineStr">
        <is>
          <t>Single</t>
        </is>
      </c>
      <c r="H22" s="3" t="inlineStr">
        <is>
          <t>VARCHAR</t>
        </is>
      </c>
      <c r="I22" s="3" t="inlineStr">
        <is>
          <t>NEEDS SOURCE TEXT</t>
        </is>
      </c>
      <c r="J22" s="3" t="inlineStr">
        <is>
          <t>Supply full source text: OSCAL model, OSCAL element path.</t>
        </is>
      </c>
      <c r="K22" s="3" t="inlineStr">
        <is>
          <t>SEC01</t>
        </is>
      </c>
      <c r="L22" s="3" t="inlineStr"/>
      <c r="M22" s="3" t="inlineStr"/>
    </row>
    <row r="23">
      <c r="A23" s="3" t="inlineStr">
        <is>
          <t>23</t>
        </is>
      </c>
      <c r="B23" s="3" t="inlineStr">
        <is>
          <t>COUNT_OF_CONTROLS</t>
        </is>
      </c>
      <c r="C23" s="3" t="inlineStr">
        <is>
          <t>Catalog - Group</t>
        </is>
      </c>
      <c r="D23" s="3" t="inlineStr">
        <is>
          <t>catalog.group.prop[@name='total-controls']</t>
        </is>
      </c>
      <c r="E23" s="3" t="inlineStr">
        <is>
          <t>Extension Property</t>
        </is>
      </c>
      <c r="F23" s="3" t="inlineStr">
        <is>
          <t>Total number of controls in the section</t>
        </is>
      </c>
      <c r="G23" s="3" t="inlineStr">
        <is>
          <t>Single</t>
        </is>
      </c>
      <c r="H23" s="3" t="inlineStr">
        <is>
          <t>DECIMAL</t>
        </is>
      </c>
      <c r="I23" s="3" t="inlineStr">
        <is>
          <t>CORE TEXT CAPTURED</t>
        </is>
      </c>
      <c r="J23" s="3" t="inlineStr"/>
      <c r="K23" s="3" t="inlineStr">
        <is>
          <t>SEC01</t>
        </is>
      </c>
      <c r="L23" s="3" t="inlineStr"/>
      <c r="M23" s="3" t="inlineStr"/>
    </row>
    <row r="24">
      <c r="A24" s="3" t="inlineStr">
        <is>
          <t>24</t>
        </is>
      </c>
      <c r="B24" s="3" t="inlineStr">
        <is>
          <t>COUNT_OF_NONCOMPLIANT_CONTROLS</t>
        </is>
      </c>
      <c r="C24" s="3" t="inlineStr">
        <is>
          <t>Assessment Resu[CLIPPED]</t>
        </is>
      </c>
      <c r="D24" s="3" t="inlineStr">
        <is>
          <t>assessment-results.result.prop[@name='nonc[CLIPPED]</t>
        </is>
      </c>
      <c r="E24" s="3" t="inlineStr">
        <is>
          <t>Extension Property</t>
        </is>
      </c>
      <c r="F24" s="3" t="inlineStr">
        <is>
          <t>Number of non-compliant controls</t>
        </is>
      </c>
      <c r="G24" s="3" t="inlineStr">
        <is>
          <t>Single</t>
        </is>
      </c>
      <c r="H24" s="3" t="inlineStr">
        <is>
          <t>DECIMAL</t>
        </is>
      </c>
      <c r="I24" s="3" t="inlineStr">
        <is>
          <t>NEEDS SOURCE TEXT</t>
        </is>
      </c>
      <c r="J24" s="3" t="inlineStr">
        <is>
          <t>Supply full source text: OSCAL model, OSCAL element path.</t>
        </is>
      </c>
      <c r="K24" s="3" t="inlineStr">
        <is>
          <t>SEC01</t>
        </is>
      </c>
      <c r="L24" s="3" t="inlineStr"/>
      <c r="M24" s="3" t="inlineStr"/>
    </row>
    <row r="25">
      <c r="A25" s="3" t="inlineStr">
        <is>
          <t>25</t>
        </is>
      </c>
      <c r="B25" s="3" t="inlineStr">
        <is>
          <t>PCT_OF_NONCOMPLIANT_CONTROLS</t>
        </is>
      </c>
      <c r="C25" s="3" t="inlineStr">
        <is>
          <t>Assessment Resu[CLIPPED]</t>
        </is>
      </c>
      <c r="D25" s="3" t="inlineStr">
        <is>
          <t>assessment-results.result.prop[@name='nonc[CLIPPED]</t>
        </is>
      </c>
      <c r="E25" s="3" t="inlineStr">
        <is>
          <t>Extension Property</t>
        </is>
      </c>
      <c r="F25" s="3" t="inlineStr">
        <is>
          <t>Percentage of non-compliant controls</t>
        </is>
      </c>
      <c r="G25" s="3" t="inlineStr">
        <is>
          <t>Single</t>
        </is>
      </c>
      <c r="H25" s="3" t="inlineStr">
        <is>
          <t>DECIMAL</t>
        </is>
      </c>
      <c r="I25" s="3" t="inlineStr">
        <is>
          <t>NEEDS SOURCE TEXT</t>
        </is>
      </c>
      <c r="J25" s="3" t="inlineStr">
        <is>
          <t>Supply full source text: OSCAL model, OSCAL element path.</t>
        </is>
      </c>
      <c r="K25" s="3" t="inlineStr">
        <is>
          <t>SEC01</t>
        </is>
      </c>
      <c r="L25" s="3" t="inlineStr"/>
      <c r="M25" s="3" t="inlineStr"/>
    </row>
    <row r="26">
      <c r="A26" s="3" t="inlineStr">
        <is>
          <t>26</t>
        </is>
      </c>
      <c r="B26" s="3" t="inlineStr">
        <is>
          <t>RELATED_TO_KEY_CONTROLS</t>
        </is>
      </c>
      <c r="C26" s="3" t="inlineStr">
        <is>
          <t>Catalog</t>
        </is>
      </c>
      <c r="D26" s="3" t="inlineStr">
        <is>
          <t>catalog.control[@id].prop[@name='key-contro[CLIPPED]</t>
        </is>
      </c>
      <c r="E26" s="3" t="inlineStr">
        <is>
          <t>Extension Property</t>
        </is>
      </c>
      <c r="F26" s="3" t="inlineStr">
        <is>
          <t>Indicator of key/critical controls</t>
        </is>
      </c>
      <c r="G26" s="3" t="inlineStr">
        <is>
          <t>Single</t>
        </is>
      </c>
      <c r="H26" s="3" t="inlineStr">
        <is>
          <t>DECIMAL</t>
        </is>
      </c>
      <c r="I26" s="3" t="inlineStr">
        <is>
          <t>NEEDS SOURCE TEXT</t>
        </is>
      </c>
      <c r="J26" s="3" t="inlineStr">
        <is>
          <t>Supply full source text: OSCAL element path.</t>
        </is>
      </c>
      <c r="K26" s="3" t="inlineStr">
        <is>
          <t>SEC01</t>
        </is>
      </c>
      <c r="L26" s="3" t="inlineStr"/>
      <c r="M26" s="3" t="inlineStr"/>
    </row>
    <row r="27">
      <c r="A27" s="3" t="inlineStr">
        <is>
          <t>27</t>
        </is>
      </c>
      <c r="B27" s="3" t="inlineStr">
        <is>
          <t>FINDINGS</t>
        </is>
      </c>
      <c r="C27" s="3" t="inlineStr">
        <is>
          <t>Assessment Resu[CLIPPED]</t>
        </is>
      </c>
      <c r="D27" s="3" t="inlineStr">
        <is>
          <t>assessment-results.result.finding[@uuid]</t>
        </is>
      </c>
      <c r="E27" s="3" t="inlineStr">
        <is>
          <t>Reference</t>
        </is>
      </c>
      <c r="F27" s="3" t="inlineStr">
        <is>
          <t>Assessment findings related to this section</t>
        </is>
      </c>
      <c r="G27" s="3" t="inlineStr">
        <is>
          <t>Multi (likely re[CLIPPED]</t>
        </is>
      </c>
      <c r="H27" s="3" t="inlineStr">
        <is>
          <t>VARCHAR</t>
        </is>
      </c>
      <c r="I27" s="3" t="inlineStr">
        <is>
          <t>NEEDS SOURCE TEXT</t>
        </is>
      </c>
      <c r="J27" s="3" t="inlineStr">
        <is>
          <t>Supply full source text: Cardinality, OSCAL model.</t>
        </is>
      </c>
      <c r="K27" s="3" t="inlineStr">
        <is>
          <t>SEC01</t>
        </is>
      </c>
      <c r="L27" s="3" t="inlineStr"/>
      <c r="M27" s="3" t="inlineStr"/>
    </row>
    <row r="28">
      <c r="A28" s="3" t="inlineStr">
        <is>
          <t>28</t>
        </is>
      </c>
      <c r="B28" s="3" t="inlineStr">
        <is>
          <t>CONTROL_TESTING_RESULTS_FAILED_EXTERNAL_CONTROL_REQUIREMENT</t>
        </is>
      </c>
      <c r="C28" s="3" t="inlineStr">
        <is>
          <t>Assessment Resu[CLIPPED]</t>
        </is>
      </c>
      <c r="D28" s="3" t="inlineStr">
        <is>
          <t>assessment-results.result.finding.collected.pr[CLIPPED]</t>
        </is>
      </c>
      <c r="E28" s="3" t="inlineStr">
        <is>
          <t>Extension Property</t>
        </is>
      </c>
      <c r="F28" s="3" t="inlineStr">
        <is>
          <t>Failed control testing results</t>
        </is>
      </c>
      <c r="G28" s="3" t="inlineStr">
        <is>
          <t>Multi (likely re[CLIPPED]</t>
        </is>
      </c>
      <c r="H28" s="3" t="inlineStr">
        <is>
          <t>VARCHAR</t>
        </is>
      </c>
      <c r="I28" s="3" t="inlineStr">
        <is>
          <t>NEEDS SOURCE TEXT</t>
        </is>
      </c>
      <c r="J28" s="3" t="inlineStr">
        <is>
          <t>Supply full source text: Cardinality, OSCAL model, OSCAL element path.</t>
        </is>
      </c>
      <c r="K28" s="3" t="inlineStr">
        <is>
          <t>SEC01</t>
        </is>
      </c>
      <c r="L28" s="3" t="inlineStr"/>
      <c r="M28" s="3" t="inlineStr"/>
    </row>
    <row r="29">
      <c r="A29" s="3" t="inlineStr">
        <is>
          <t>29</t>
        </is>
      </c>
      <c r="B29" s="3" t="inlineStr">
        <is>
          <t>DEVIATIONS_AUTHORITATIVE_SOURCES</t>
        </is>
      </c>
      <c r="C29" s="3" t="inlineStr">
        <is>
          <t>Assessment Resu[CLIPPED]</t>
        </is>
      </c>
      <c r="D29" s="3" t="inlineStr">
        <is>
          <t>assessment-results.result.finding[@uuid].prop[CLIPPED]</t>
        </is>
      </c>
      <c r="E29" s="3" t="inlineStr">
        <is>
          <t>Extension Property</t>
        </is>
      </c>
      <c r="F29" s="3" t="inlineStr">
        <is>
          <t>Documented deviations from standards</t>
        </is>
      </c>
      <c r="G29" s="3" t="inlineStr">
        <is>
          <t>Multi (likely re[CLIPPED]</t>
        </is>
      </c>
      <c r="H29" s="3" t="inlineStr">
        <is>
          <t>VARCHAR</t>
        </is>
      </c>
      <c r="I29" s="3" t="inlineStr">
        <is>
          <t>NEEDS SOURCE TEXT</t>
        </is>
      </c>
      <c r="J29" s="3" t="inlineStr">
        <is>
          <t>Supply full source text: Cardinality, OSCAL model, OSCAL element path.</t>
        </is>
      </c>
      <c r="K29" s="3" t="inlineStr">
        <is>
          <t>SEC01</t>
        </is>
      </c>
      <c r="L29" s="3" t="inlineStr"/>
      <c r="M29" s="3" t="inlineStr"/>
    </row>
    <row r="30">
      <c r="A30" s="3" t="inlineStr">
        <is>
          <t>30</t>
        </is>
      </c>
      <c r="B30" s="3" t="inlineStr">
        <is>
          <t>DEVIATIONS_SECTIONS_LINKED_HELPER</t>
        </is>
      </c>
      <c r="C30" s="3" t="inlineStr">
        <is>
          <t>Assessment Resu[CLIPPED]</t>
        </is>
      </c>
      <c r="D30" s="3" t="inlineStr">
        <is>
          <t>assessment-results.result.finding.related-obse[CLIPPED]</t>
        </is>
      </c>
      <c r="E30" s="3" t="inlineStr">
        <is>
          <t>Reference</t>
        </is>
      </c>
      <c r="F30" s="3" t="inlineStr">
        <is>
          <t>Helper linking deviations to sections/controls</t>
        </is>
      </c>
      <c r="G30" s="3" t="inlineStr">
        <is>
          <t>Multi (likely re[CLIPPED]</t>
        </is>
      </c>
      <c r="H30" s="3" t="inlineStr">
        <is>
          <t>VARCHAR</t>
        </is>
      </c>
      <c r="I30" s="3" t="inlineStr">
        <is>
          <t>NEEDS SOURCE TEXT</t>
        </is>
      </c>
      <c r="J30" s="3" t="inlineStr">
        <is>
          <t>Supply full source text: Cardinality, OSCAL model, OSCAL element path.</t>
        </is>
      </c>
      <c r="K30" s="3" t="inlineStr">
        <is>
          <t>SEC01</t>
        </is>
      </c>
      <c r="L30" s="3" t="inlineStr"/>
      <c r="M30" s="3" t="inlineStr"/>
    </row>
    <row r="31">
      <c r="A31" s="3" t="inlineStr">
        <is>
          <t>31</t>
        </is>
      </c>
      <c r="B31" s="3" t="inlineStr">
        <is>
          <t>AS_DEVIATION_CREATE_FLAG_CREATE</t>
        </is>
      </c>
      <c r="C31" s="3" t="inlineStr">
        <is>
          <t>Assessment Resu[CLIPPED]</t>
        </is>
      </c>
      <c r="D31" s="3" t="inlineStr">
        <is>
          <t>assessment-results.result.finding.prop[@name[CLIPPED]</t>
        </is>
      </c>
      <c r="E31" s="3" t="inlineStr">
        <is>
          <t>Extension Property</t>
        </is>
      </c>
      <c r="F31" s="3" t="inlineStr">
        <is>
          <t>Flag indicating a deviation should be created</t>
        </is>
      </c>
      <c r="G31" s="3" t="inlineStr">
        <is>
          <t>Single</t>
        </is>
      </c>
      <c r="H31" s="3" t="inlineStr">
        <is>
          <t>VARCHAR</t>
        </is>
      </c>
      <c r="I31" s="3" t="inlineStr">
        <is>
          <t>NEEDS SOURCE TEXT</t>
        </is>
      </c>
      <c r="J31" s="3" t="inlineStr">
        <is>
          <t>Supply full source text: OSCAL model, OSCAL element path.</t>
        </is>
      </c>
      <c r="K31" s="3" t="inlineStr">
        <is>
          <t>SEC01</t>
        </is>
      </c>
      <c r="L31" s="3" t="inlineStr"/>
      <c r="M31" s="3" t="inlineStr"/>
    </row>
    <row r="32">
      <c r="A32" s="3" t="inlineStr">
        <is>
          <t>32</t>
        </is>
      </c>
      <c r="B32" s="3" t="inlineStr">
        <is>
          <t>AS_DEVIATION_CREATE_FLAG__CREATE</t>
        </is>
      </c>
      <c r="C32" s="3" t="inlineStr">
        <is>
          <t>Assessment Resu[CLIPPED]</t>
        </is>
      </c>
      <c r="D32" s="3" t="inlineStr">
        <is>
          <t>assessment-results.result.finding.prop[@name[CLIPPED]</t>
        </is>
      </c>
      <c r="E32" s="3" t="inlineStr">
        <is>
          <t>Extension Property</t>
        </is>
      </c>
      <c r="F32" s="3" t="inlineStr">
        <is>
          <t>Duplicate field (extra underscore); appears same as AS_DEVIATION_CREATE_FLAG_CREATE - verify source</t>
        </is>
      </c>
      <c r="G32" s="3" t="inlineStr">
        <is>
          <t>Single</t>
        </is>
      </c>
      <c r="H32" s="3" t="inlineStr">
        <is>
          <t>VARCHAR</t>
        </is>
      </c>
      <c r="I32" s="3" t="inlineStr">
        <is>
          <t>NEEDS SOURCE TEXT</t>
        </is>
      </c>
      <c r="J32" s="3" t="inlineStr">
        <is>
          <t>Supply full source text: OSCAL model, OSCAL element path. Confirm exact underscore count in AS_DEVIATION_CREATE_FLAG__CREATE.</t>
        </is>
      </c>
      <c r="K32" s="3" t="inlineStr">
        <is>
          <t>SEC01</t>
        </is>
      </c>
      <c r="L32" s="3" t="inlineStr"/>
      <c r="M32" s="3" t="inlineStr"/>
    </row>
    <row r="33">
      <c r="A33" s="3" t="inlineStr">
        <is>
          <t>33</t>
        </is>
      </c>
      <c r="B33" s="3" t="inlineStr">
        <is>
          <t>CREATE_DEVIATION_BINARY_AS</t>
        </is>
      </c>
      <c r="C33" s="3" t="inlineStr">
        <is>
          <t>Assessment Resu[CLIPPED]</t>
        </is>
      </c>
      <c r="D33" s="3" t="inlineStr">
        <is>
          <t>assessment-results.result.finding.prop[@name[CLIPPED]</t>
        </is>
      </c>
      <c r="E33" s="3" t="inlineStr">
        <is>
          <t>Extension Property</t>
        </is>
      </c>
      <c r="F33" s="3" t="inlineStr">
        <is>
          <t>Binary form of the deviation-create flag</t>
        </is>
      </c>
      <c r="G33" s="3" t="inlineStr">
        <is>
          <t>Single</t>
        </is>
      </c>
      <c r="H33" s="3" t="inlineStr">
        <is>
          <t>DECIMAL</t>
        </is>
      </c>
      <c r="I33" s="3" t="inlineStr">
        <is>
          <t>NEEDS SOURCE TEXT</t>
        </is>
      </c>
      <c r="J33" s="3" t="inlineStr">
        <is>
          <t>Supply full source text: OSCAL model, OSCAL element path.</t>
        </is>
      </c>
      <c r="K33" s="3" t="inlineStr">
        <is>
          <t>SEC01</t>
        </is>
      </c>
      <c r="L33" s="3" t="inlineStr"/>
      <c r="M33" s="3" t="inlineStr"/>
    </row>
    <row r="34">
      <c r="A34" s="3" t="inlineStr">
        <is>
          <t>34</t>
        </is>
      </c>
      <c r="B34" s="3" t="inlineStr">
        <is>
          <t>CRITICALITY</t>
        </is>
      </c>
      <c r="C34" s="3" t="inlineStr">
        <is>
          <t>Catalog - Group</t>
        </is>
      </c>
      <c r="D34" s="3" t="inlineStr">
        <is>
          <t>catalog.group.prop[@name='criticality']</t>
        </is>
      </c>
      <c r="E34" s="3" t="inlineStr">
        <is>
          <t>Extension Property</t>
        </is>
      </c>
      <c r="F34" s="3" t="inlineStr">
        <is>
          <t>Criticality level of the section</t>
        </is>
      </c>
      <c r="G34" s="3" t="inlineStr">
        <is>
          <t>Single</t>
        </is>
      </c>
      <c r="H34" s="3" t="inlineStr">
        <is>
          <t>VARCHAR</t>
        </is>
      </c>
      <c r="I34" s="3" t="inlineStr">
        <is>
          <t>CORE TEXT CAPTURED</t>
        </is>
      </c>
      <c r="J34" s="3" t="inlineStr"/>
      <c r="K34" s="3" t="inlineStr">
        <is>
          <t>SEC01</t>
        </is>
      </c>
      <c r="L34" s="3" t="inlineStr"/>
      <c r="M34" s="3" t="inlineStr"/>
    </row>
    <row r="35">
      <c r="A35" s="3" t="inlineStr">
        <is>
          <t>35</t>
        </is>
      </c>
      <c r="B35" s="3" t="inlineStr">
        <is>
          <t>SECTION_CRITICALITY_VALUE</t>
        </is>
      </c>
      <c r="C35" s="3" t="inlineStr">
        <is>
          <t>Catalog - Group</t>
        </is>
      </c>
      <c r="D35" s="3" t="inlineStr">
        <is>
          <t>catalog.group.prop[@name='criticality-value']</t>
        </is>
      </c>
      <c r="E35" s="3" t="inlineStr">
        <is>
          <t>Extension Property</t>
        </is>
      </c>
      <c r="F35" s="3" t="inlineStr">
        <is>
          <t>Criticality score for the section</t>
        </is>
      </c>
      <c r="G35" s="3" t="inlineStr">
        <is>
          <t>Single</t>
        </is>
      </c>
      <c r="H35" s="3" t="inlineStr">
        <is>
          <t>VARCHAR</t>
        </is>
      </c>
      <c r="I35" s="3" t="inlineStr">
        <is>
          <t>CORE TEXT CAPTURED</t>
        </is>
      </c>
      <c r="J35" s="3" t="inlineStr"/>
      <c r="K35" s="3" t="inlineStr">
        <is>
          <t>SEC01</t>
        </is>
      </c>
      <c r="L35" s="3" t="inlineStr"/>
      <c r="M35" s="3" t="inlineStr"/>
    </row>
    <row r="36">
      <c r="A36" s="3" t="inlineStr">
        <is>
          <t>36</t>
        </is>
      </c>
      <c r="B36" s="3" t="inlineStr">
        <is>
          <t>SUM_OF_SUB_SECTION_CRITICALITY_VALUE</t>
        </is>
      </c>
      <c r="C36" s="3" t="inlineStr">
        <is>
          <t>Catalog - Group</t>
        </is>
      </c>
      <c r="D36" s="3" t="inlineStr">
        <is>
          <t>catalog.group.prop[@name='sub-section-critic[CLIPPED]</t>
        </is>
      </c>
      <c r="E36" s="3" t="inlineStr">
        <is>
          <t>Extension Property</t>
        </is>
      </c>
      <c r="F36" s="3" t="inlineStr">
        <is>
          <t>Rolled-up sub-section criticality</t>
        </is>
      </c>
      <c r="G36" s="3" t="inlineStr">
        <is>
          <t>Single</t>
        </is>
      </c>
      <c r="H36" s="3" t="inlineStr">
        <is>
          <t>DECIMAL</t>
        </is>
      </c>
      <c r="I36" s="3" t="inlineStr">
        <is>
          <t>NEEDS SOURCE TEXT</t>
        </is>
      </c>
      <c r="J36" s="3" t="inlineStr">
        <is>
          <t>Supply full source text: OSCAL element path.</t>
        </is>
      </c>
      <c r="K36" s="3" t="inlineStr">
        <is>
          <t>SEC01</t>
        </is>
      </c>
      <c r="L36" s="3" t="inlineStr"/>
      <c r="M36" s="3" t="inlineStr"/>
    </row>
    <row r="37">
      <c r="A37" s="3" t="inlineStr">
        <is>
          <t>37</t>
        </is>
      </c>
      <c r="B37" s="3" t="inlineStr">
        <is>
          <t>INFORMATION</t>
        </is>
      </c>
      <c r="C37" s="3" t="inlineStr">
        <is>
          <t>Catalog - Group</t>
        </is>
      </c>
      <c r="D37" s="3" t="inlineStr">
        <is>
          <t>catalog.group.part[@name='information'].pros[CLIPPED]</t>
        </is>
      </c>
      <c r="E37" s="3" t="inlineStr">
        <is>
          <t>Direct</t>
        </is>
      </c>
      <c r="F37" s="3" t="inlineStr">
        <is>
          <t>Additional information about the section</t>
        </is>
      </c>
      <c r="G37" s="3" t="inlineStr">
        <is>
          <t>Single</t>
        </is>
      </c>
      <c r="H37" s="3" t="inlineStr">
        <is>
          <t>VARCHAR</t>
        </is>
      </c>
      <c r="I37" s="3" t="inlineStr">
        <is>
          <t>NEEDS SOURCE TEXT</t>
        </is>
      </c>
      <c r="J37" s="3" t="inlineStr">
        <is>
          <t>Supply full source text: OSCAL element path.</t>
        </is>
      </c>
      <c r="K37" s="3" t="inlineStr">
        <is>
          <t>SEC01</t>
        </is>
      </c>
      <c r="L37" s="3" t="inlineStr"/>
      <c r="M37" s="3" t="inlineStr"/>
    </row>
    <row r="38">
      <c r="A38" s="3" t="inlineStr">
        <is>
          <t>38</t>
        </is>
      </c>
      <c r="B38" s="3" t="inlineStr">
        <is>
          <t>POLICY_LEVEL_3</t>
        </is>
      </c>
      <c r="C38" s="3" t="inlineStr">
        <is>
          <t>Component Defi[CLIPPED]</t>
        </is>
      </c>
      <c r="D38" s="3" t="inlineStr">
        <is>
          <t>component-definition.component.prop[@name[CLIPPED]</t>
        </is>
      </c>
      <c r="E38" s="3" t="inlineStr">
        <is>
          <t>Extension Property</t>
        </is>
      </c>
      <c r="F38" s="3" t="inlineStr">
        <is>
          <t>Hierarchical policy level</t>
        </is>
      </c>
      <c r="G38" s="3" t="inlineStr">
        <is>
          <t>Single</t>
        </is>
      </c>
      <c r="H38" s="3" t="inlineStr">
        <is>
          <t>VARCHAR</t>
        </is>
      </c>
      <c r="I38" s="3" t="inlineStr">
        <is>
          <t>NEEDS SOURCE TEXT</t>
        </is>
      </c>
      <c r="J38" s="3" t="inlineStr">
        <is>
          <t>Supply full source text: OSCAL model, OSCAL element path.</t>
        </is>
      </c>
      <c r="K38" s="3" t="inlineStr">
        <is>
          <t>SEC01</t>
        </is>
      </c>
      <c r="L38" s="3" t="inlineStr"/>
      <c r="M38" s="3" t="inlineStr"/>
    </row>
    <row r="39">
      <c r="A39" s="3" t="inlineStr">
        <is>
          <t>39</t>
        </is>
      </c>
      <c r="B39" s="3" t="inlineStr">
        <is>
          <t>POLICY_LEVEL_3_FROM_SECTION_LEVEL_AND_BELOW</t>
        </is>
      </c>
      <c r="C39" s="3" t="inlineStr">
        <is>
          <t>Component Defi[CLIPPED]</t>
        </is>
      </c>
      <c r="D39" s="3" t="inlineStr">
        <is>
          <t>component-definition.component.link[@rel='p[CLIPPED]</t>
        </is>
      </c>
      <c r="E39" s="3" t="inlineStr">
        <is>
          <t>Reference</t>
        </is>
      </c>
      <c r="F39" s="3" t="inlineStr">
        <is>
          <t>Policy Level 3 for section and descendants</t>
        </is>
      </c>
      <c r="G39" s="3" t="inlineStr">
        <is>
          <t>Single</t>
        </is>
      </c>
      <c r="H39" s="3" t="inlineStr">
        <is>
          <t>VARCHAR</t>
        </is>
      </c>
      <c r="I39" s="3" t="inlineStr">
        <is>
          <t>NEEDS SOURCE TEXT</t>
        </is>
      </c>
      <c r="J39" s="3" t="inlineStr">
        <is>
          <t>Supply full source text: OSCAL model, OSCAL element path.</t>
        </is>
      </c>
      <c r="K39" s="3" t="inlineStr">
        <is>
          <t>SEC01</t>
        </is>
      </c>
      <c r="L39" s="3" t="inlineStr"/>
      <c r="M39" s="3" t="inlineStr"/>
    </row>
    <row r="40">
      <c r="A40" s="3" t="inlineStr">
        <is>
          <t>40</t>
        </is>
      </c>
      <c r="B40" s="3" t="inlineStr">
        <is>
          <t>POLICY_LEVEL_3__FROM_SECTION_LEVEL_AND_BELOW</t>
        </is>
      </c>
      <c r="C40" s="3" t="inlineStr">
        <is>
          <t>Component Defi[CLIPPED]</t>
        </is>
      </c>
      <c r="D40" s="3" t="inlineStr">
        <is>
          <t>component-definition.component.prop[@name[CLIPPED]</t>
        </is>
      </c>
      <c r="E40" s="3" t="inlineStr">
        <is>
          <t>Extension Property</t>
        </is>
      </c>
      <c r="F40" s="3" t="inlineStr">
        <is>
          <t>Duplicate field (extra underscore); appears same as POLICY_LEVEL_3_FROM_SECTION_LEVEL_AND_BELO[CLIPPED]</t>
        </is>
      </c>
      <c r="G40" s="3" t="inlineStr">
        <is>
          <t>Single</t>
        </is>
      </c>
      <c r="H40" s="3" t="inlineStr">
        <is>
          <t>VARCHAR</t>
        </is>
      </c>
      <c r="I40" s="3" t="inlineStr">
        <is>
          <t>NEEDS SOURCE TEXT</t>
        </is>
      </c>
      <c r="J40" s="3" t="inlineStr">
        <is>
          <t>Supply full source text: OSCAL model, OSCAL element path, Original Notes.</t>
        </is>
      </c>
      <c r="K40" s="3" t="inlineStr">
        <is>
          <t>SEC01</t>
        </is>
      </c>
      <c r="L40" s="3" t="inlineStr"/>
      <c r="M40" s="3" t="inlineStr"/>
    </row>
    <row r="41">
      <c r="A41" s="3" t="inlineStr">
        <is>
          <t>41</t>
        </is>
      </c>
      <c r="B41" s="3" t="inlineStr">
        <is>
          <t>LINKED_TO_POLICY_SECTION_LEVEL</t>
        </is>
      </c>
      <c r="C41" s="3" t="inlineStr">
        <is>
          <t>Component Defi[CLIPPED]</t>
        </is>
      </c>
      <c r="D41" s="3" t="inlineStr">
        <is>
          <t>component-definition.component.link[@rel='s[CLIPPED]</t>
        </is>
      </c>
      <c r="E41" s="3" t="inlineStr">
        <is>
          <t>Reference</t>
        </is>
      </c>
      <c r="F41" s="3" t="inlineStr">
        <is>
          <t>Link to section-level policies</t>
        </is>
      </c>
      <c r="G41" s="3" t="inlineStr">
        <is>
          <t>Multi (likely re[CLIPPED]</t>
        </is>
      </c>
      <c r="H41" s="3" t="inlineStr">
        <is>
          <t>VARCHAR</t>
        </is>
      </c>
      <c r="I41" s="3" t="inlineStr">
        <is>
          <t>NEEDS SOURCE TEXT</t>
        </is>
      </c>
      <c r="J41" s="3" t="inlineStr">
        <is>
          <t>Supply full source text: Cardinality, OSCAL model, OSCAL element path.</t>
        </is>
      </c>
      <c r="K41" s="3" t="inlineStr">
        <is>
          <t>SEC01</t>
        </is>
      </c>
      <c r="L41" s="3" t="inlineStr"/>
      <c r="M41" s="3" t="inlineStr"/>
    </row>
    <row r="42">
      <c r="A42" s="3" t="inlineStr">
        <is>
          <t>42</t>
        </is>
      </c>
      <c r="B42" s="3" t="inlineStr">
        <is>
          <t>NUMBER_OF_POLICIES_SECTION_LEVEL</t>
        </is>
      </c>
      <c r="C42" s="3" t="inlineStr">
        <is>
          <t>Component Defi[CLIPPED]</t>
        </is>
      </c>
      <c r="D42" s="3" t="inlineStr">
        <is>
          <t>component-definition.component.prop[@name[CLIPPED]</t>
        </is>
      </c>
      <c r="E42" s="3" t="inlineStr">
        <is>
          <t>Extension Property</t>
        </is>
      </c>
      <c r="F42" s="3" t="inlineStr">
        <is>
          <t>Count of policies at section level</t>
        </is>
      </c>
      <c r="G42" s="3" t="inlineStr">
        <is>
          <t>Single</t>
        </is>
      </c>
      <c r="H42" s="3" t="inlineStr">
        <is>
          <t>DECIMAL</t>
        </is>
      </c>
      <c r="I42" s="3" t="inlineStr">
        <is>
          <t>NEEDS SOURCE TEXT</t>
        </is>
      </c>
      <c r="J42" s="3" t="inlineStr">
        <is>
          <t>Supply full source text: OSCAL model, OSCAL element path.</t>
        </is>
      </c>
      <c r="K42" s="3" t="inlineStr">
        <is>
          <t>SEC01</t>
        </is>
      </c>
      <c r="L42" s="3" t="inlineStr"/>
      <c r="M42" s="3" t="inlineStr"/>
    </row>
    <row r="43">
      <c r="A43" s="3" t="inlineStr">
        <is>
          <t>43</t>
        </is>
      </c>
      <c r="B43" s="3" t="inlineStr">
        <is>
          <t>TOTAL_NUMBER_OF_SUB_SECTIONS_LINKED_TO_POLICY</t>
        </is>
      </c>
      <c r="C43" s="3" t="inlineStr">
        <is>
          <t>Component Defi[CLIPPED]</t>
        </is>
      </c>
      <c r="D43" s="3" t="inlineStr">
        <is>
          <t>component-definition.component.prop[@name[CLIPPED]</t>
        </is>
      </c>
      <c r="E43" s="3" t="inlineStr">
        <is>
          <t>Extension Property</t>
        </is>
      </c>
      <c r="F43" s="3" t="inlineStr">
        <is>
          <t>Sub-sections linked to a policy</t>
        </is>
      </c>
      <c r="G43" s="3" t="inlineStr">
        <is>
          <t>Single</t>
        </is>
      </c>
      <c r="H43" s="3" t="inlineStr">
        <is>
          <t>DECIMAL</t>
        </is>
      </c>
      <c r="I43" s="3" t="inlineStr">
        <is>
          <t>NEEDS SOURCE TEXT</t>
        </is>
      </c>
      <c r="J43" s="3" t="inlineStr">
        <is>
          <t>Supply full source text: OSCAL model, OSCAL element path.</t>
        </is>
      </c>
      <c r="K43" s="3" t="inlineStr">
        <is>
          <t>SEC01</t>
        </is>
      </c>
      <c r="L43" s="3" t="inlineStr"/>
      <c r="M43" s="3" t="inlineStr"/>
    </row>
    <row r="44">
      <c r="A44" s="3" t="inlineStr">
        <is>
          <t>44</t>
        </is>
      </c>
      <c r="B44" s="3" t="inlineStr">
        <is>
          <t>PERCENT_OF_SUB_SECTIONS_LINKED_TO_POLICY</t>
        </is>
      </c>
      <c r="C44" s="3" t="inlineStr">
        <is>
          <t>Component Defi[CLIPPED]</t>
        </is>
      </c>
      <c r="D44" s="3" t="inlineStr">
        <is>
          <t>component-definition.component.prop[@name[CLIPPED]</t>
        </is>
      </c>
      <c r="E44" s="3" t="inlineStr">
        <is>
          <t>Extension Property</t>
        </is>
      </c>
      <c r="F44" s="3" t="inlineStr">
        <is>
          <t>Percent of sub-sections linked to policy</t>
        </is>
      </c>
      <c r="G44" s="3" t="inlineStr">
        <is>
          <t>Single</t>
        </is>
      </c>
      <c r="H44" s="3" t="inlineStr">
        <is>
          <t>DECIMAL</t>
        </is>
      </c>
      <c r="I44" s="3" t="inlineStr">
        <is>
          <t>NEEDS SOURCE TEXT</t>
        </is>
      </c>
      <c r="J44" s="3" t="inlineStr">
        <is>
          <t>Supply full source text: OSCAL model, OSCAL element path.</t>
        </is>
      </c>
      <c r="K44" s="3" t="inlineStr">
        <is>
          <t>SEC01</t>
        </is>
      </c>
      <c r="L44" s="3" t="inlineStr"/>
      <c r="M44" s="3" t="inlineStr"/>
    </row>
    <row r="45">
      <c r="A45" s="3" t="inlineStr">
        <is>
          <t>45</t>
        </is>
      </c>
      <c r="B45" s="3" t="inlineStr">
        <is>
          <t>POLICIES_NEW_AUTH_SOURCE_CALC_CROSSREF_SECTION</t>
        </is>
      </c>
      <c r="C45" s="3" t="inlineStr">
        <is>
          <t>Component Defi[CLIPPED]</t>
        </is>
      </c>
      <c r="D45" s="3" t="inlineStr">
        <is>
          <t>component-definition.component.link[@rel='p[CLIPPED]</t>
        </is>
      </c>
      <c r="E45" s="3" t="inlineStr">
        <is>
          <t>Reference</t>
        </is>
      </c>
      <c r="F45" s="3" t="inlineStr">
        <is>
          <t>Calculated policy cross-reference for the section</t>
        </is>
      </c>
      <c r="G45" s="3" t="inlineStr">
        <is>
          <t>Multi (likely re[CLIPPED]</t>
        </is>
      </c>
      <c r="H45" s="3" t="inlineStr">
        <is>
          <t>VARCHAR</t>
        </is>
      </c>
      <c r="I45" s="3" t="inlineStr">
        <is>
          <t>NEEDS SOURCE TEXT</t>
        </is>
      </c>
      <c r="J45" s="3" t="inlineStr">
        <is>
          <t>Supply full source text: Cardinality, OSCAL model, OSCAL element path.</t>
        </is>
      </c>
      <c r="K45" s="3" t="inlineStr">
        <is>
          <t>SEC01</t>
        </is>
      </c>
      <c r="L45" s="3" t="inlineStr"/>
      <c r="M45" s="3" t="inlineStr"/>
    </row>
    <row r="46">
      <c r="A46" s="3" t="inlineStr">
        <is>
          <t>46</t>
        </is>
      </c>
      <c r="B46" s="3" t="inlineStr">
        <is>
          <t>POLICIES_COPY_OF_NEW_AUTH_SOURCE_CALC_CROSSREF_SECTION</t>
        </is>
      </c>
      <c r="C46" s="3" t="inlineStr">
        <is>
          <t>Component Defi[CLIPPED]</t>
        </is>
      </c>
      <c r="D46" s="3" t="inlineStr">
        <is>
          <t>component-definition.component.link[@rel='p[CLIPPED]</t>
        </is>
      </c>
      <c r="E46" s="3" t="inlineStr">
        <is>
          <t>Reference</t>
        </is>
      </c>
      <c r="F46" s="3" t="inlineStr">
        <is>
          <t>COPY_OF duplicate of POLICIES_NEW_AUTH_SOURCE_CALC_CROSSREF_SECTION - verify source</t>
        </is>
      </c>
      <c r="G46" s="3" t="inlineStr">
        <is>
          <t>Multi (likely re[CLIPPED]</t>
        </is>
      </c>
      <c r="H46" s="3" t="inlineStr">
        <is>
          <t>VARCHAR</t>
        </is>
      </c>
      <c r="I46" s="3" t="inlineStr">
        <is>
          <t>NEEDS SOURCE TEXT</t>
        </is>
      </c>
      <c r="J46" s="3" t="inlineStr">
        <is>
          <t>Supply full source text: Cardinality, OSCAL model, OSCAL element path.</t>
        </is>
      </c>
      <c r="K46" s="3" t="inlineStr">
        <is>
          <t>SEC01</t>
        </is>
      </c>
      <c r="L46" s="3" t="inlineStr"/>
      <c r="M46" s="3" t="inlineStr"/>
    </row>
    <row r="47">
      <c r="A47" s="3" t="inlineStr">
        <is>
          <t>47</t>
        </is>
      </c>
      <c r="B47" s="3" t="inlineStr">
        <is>
          <t>ENGAGEMENT_SCOPE_IN_CONTROL_SECTION</t>
        </is>
      </c>
      <c r="C47" s="3" t="inlineStr">
        <is>
          <t>Assessment Plan</t>
        </is>
      </c>
      <c r="D47" s="3" t="inlineStr">
        <is>
          <t>assessment-plan.local-definitions.activity.prop[CLIPPED]</t>
        </is>
      </c>
      <c r="E47" s="3" t="inlineStr">
        <is>
          <t>Extension Property</t>
        </is>
      </c>
      <c r="F47" s="3" t="inlineStr">
        <is>
          <t>Scope of compliance engagement for the section</t>
        </is>
      </c>
      <c r="G47" s="3" t="inlineStr">
        <is>
          <t>Single</t>
        </is>
      </c>
      <c r="H47" s="3" t="inlineStr">
        <is>
          <t>VARCHAR</t>
        </is>
      </c>
      <c r="I47" s="3" t="inlineStr">
        <is>
          <t>NEEDS SOURCE TEXT</t>
        </is>
      </c>
      <c r="J47" s="3" t="inlineStr">
        <is>
          <t>Supply full source text: OSCAL element path.</t>
        </is>
      </c>
      <c r="K47" s="3" t="inlineStr">
        <is>
          <t>SEC01</t>
        </is>
      </c>
      <c r="L47" s="3" t="inlineStr"/>
      <c r="M47" s="3" t="inlineStr"/>
    </row>
    <row r="48">
      <c r="A48" s="3" t="inlineStr">
        <is>
          <t>48</t>
        </is>
      </c>
      <c r="B48" s="3" t="inlineStr">
        <is>
          <t>COMPLIANCE_ENGAGEMENTS_SCOPE_PROCEDURES_FROM_SELECTED_AUTHORITATIVE_SOURCES</t>
        </is>
      </c>
      <c r="C48" s="3" t="inlineStr">
        <is>
          <t>Assessment Plan</t>
        </is>
      </c>
      <c r="D48" s="3" t="inlineStr">
        <is>
          <t>assessment-plan.local-definitions.activity.step</t>
        </is>
      </c>
      <c r="E48" s="3" t="inlineStr">
        <is>
          <t>Direct</t>
        </is>
      </c>
      <c r="F48" s="3" t="inlineStr">
        <is>
          <t>Procedures for compliance engagements</t>
        </is>
      </c>
      <c r="G48" s="3" t="inlineStr">
        <is>
          <t>Single</t>
        </is>
      </c>
      <c r="H48" s="3" t="inlineStr">
        <is>
          <t>VARCHAR</t>
        </is>
      </c>
      <c r="I48" s="3" t="inlineStr">
        <is>
          <t>CORE TEXT CAPTURED</t>
        </is>
      </c>
      <c r="J48" s="3" t="inlineStr"/>
      <c r="K48" s="3" t="inlineStr">
        <is>
          <t>SEC01</t>
        </is>
      </c>
      <c r="L48" s="3" t="inlineStr"/>
      <c r="M48" s="3" t="inlineStr"/>
    </row>
    <row r="49">
      <c r="A49" s="3" t="inlineStr">
        <is>
          <t>49</t>
        </is>
      </c>
      <c r="B49" s="3" t="inlineStr">
        <is>
          <t>QUESTION_LIBRARY</t>
        </is>
      </c>
      <c r="C49" s="3" t="inlineStr">
        <is>
          <t>Assessment Plan</t>
        </is>
      </c>
      <c r="D49" s="3" t="inlineStr">
        <is>
          <t>assessment-plan.local-definitions.activity.prop[CLIPPED]</t>
        </is>
      </c>
      <c r="E49" s="3" t="inlineStr">
        <is>
          <t>Extension Property</t>
        </is>
      </c>
      <c r="F49" s="3" t="inlineStr">
        <is>
          <t>Assessment questionnaire references</t>
        </is>
      </c>
      <c r="G49" s="3" t="inlineStr">
        <is>
          <t>Multi (likely re[CLIPPED]</t>
        </is>
      </c>
      <c r="H49" s="3" t="inlineStr">
        <is>
          <t>VARCHAR</t>
        </is>
      </c>
      <c r="I49" s="3" t="inlineStr">
        <is>
          <t>NEEDS SOURCE TEXT</t>
        </is>
      </c>
      <c r="J49" s="3" t="inlineStr">
        <is>
          <t>Supply full source text: Cardinality, OSCAL element path.</t>
        </is>
      </c>
      <c r="K49" s="3" t="inlineStr">
        <is>
          <t>SEC01</t>
        </is>
      </c>
      <c r="L49" s="3" t="inlineStr"/>
      <c r="M49" s="3" t="inlineStr"/>
    </row>
    <row r="50">
      <c r="A50" s="3" t="inlineStr">
        <is>
          <t>50</t>
        </is>
      </c>
      <c r="B50" s="3" t="inlineStr">
        <is>
          <t>EVIDENCE_REPOSITORY</t>
        </is>
      </c>
      <c r="C50" s="3" t="inlineStr">
        <is>
          <t>Assessment Resu[CLIPPED]</t>
        </is>
      </c>
      <c r="D50" s="3" t="inlineStr">
        <is>
          <t>assessment-results.result.finding.relevant-evide[CLIPPED]</t>
        </is>
      </c>
      <c r="E50" s="3" t="inlineStr">
        <is>
          <t>Direct</t>
        </is>
      </c>
      <c r="F50" s="3" t="inlineStr">
        <is>
          <t>Link to evidence repository</t>
        </is>
      </c>
      <c r="G50" s="3" t="inlineStr">
        <is>
          <t>Single</t>
        </is>
      </c>
      <c r="H50" s="3" t="inlineStr">
        <is>
          <t>VARCHAR</t>
        </is>
      </c>
      <c r="I50" s="3" t="inlineStr">
        <is>
          <t>NEEDS SOURCE TEXT</t>
        </is>
      </c>
      <c r="J50" s="3" t="inlineStr">
        <is>
          <t>Supply full source text: OSCAL model, OSCAL element path.</t>
        </is>
      </c>
      <c r="K50" s="3" t="inlineStr">
        <is>
          <t>SEC01</t>
        </is>
      </c>
      <c r="L50" s="3" t="inlineStr"/>
      <c r="M50" s="3" t="inlineStr"/>
    </row>
    <row r="51">
      <c r="A51" s="3" t="inlineStr">
        <is>
          <t>51</t>
        </is>
      </c>
      <c r="B51" s="3" t="inlineStr">
        <is>
          <t>EVIDENCE_REPOSITORY_AUTHORITATIVE_SOURCE_SECTION_INPUT</t>
        </is>
      </c>
      <c r="C51" s="3" t="inlineStr">
        <is>
          <t>Assessment Resu[CLIPPED]</t>
        </is>
      </c>
      <c r="D51" s="3" t="inlineStr">
        <is>
          <t>assessment-results.result.finding.relevant-evide[CLIPPED]</t>
        </is>
      </c>
      <c r="E51" s="3" t="inlineStr">
        <is>
          <t>Direct</t>
        </is>
      </c>
      <c r="F51" s="3" t="inlineStr">
        <is>
          <t>Section-scoped evidence repository input</t>
        </is>
      </c>
      <c r="G51" s="3" t="inlineStr">
        <is>
          <t>Single</t>
        </is>
      </c>
      <c r="H51" s="3" t="inlineStr">
        <is>
          <t>VARCHAR</t>
        </is>
      </c>
      <c r="I51" s="3" t="inlineStr">
        <is>
          <t>NEEDS SOURCE TEXT</t>
        </is>
      </c>
      <c r="J51" s="3" t="inlineStr">
        <is>
          <t>Supply full source text: OSCAL model, OSCAL element path.</t>
        </is>
      </c>
      <c r="K51" s="3" t="inlineStr">
        <is>
          <t>SEC01</t>
        </is>
      </c>
      <c r="L51" s="3" t="inlineStr"/>
      <c r="M51" s="3" t="inlineStr"/>
    </row>
    <row r="52">
      <c r="A52" s="3" t="inlineStr">
        <is>
          <t>52</t>
        </is>
      </c>
      <c r="B52" s="3" t="inlineStr">
        <is>
          <t>EVIDENCE_REPOSITORY_AUTHORITATIVE_SOURCE__SECTION_INPUT</t>
        </is>
      </c>
      <c r="C52" s="3" t="inlineStr">
        <is>
          <t>Assessment Resu[CLIPPED]</t>
        </is>
      </c>
      <c r="D52" s="3" t="inlineStr">
        <is>
          <t>assessment-results.result.finding.relevant-evide[CLIPPED]</t>
        </is>
      </c>
      <c r="E52" s="3" t="inlineStr">
        <is>
          <t>Direct</t>
        </is>
      </c>
      <c r="F52" s="3" t="inlineStr">
        <is>
          <t>Duplicate field (extra underscore); appears same as EVIDENCE_REPOSITORY_AUTHORITATIVE_SOURCE_S[CLIPPED]</t>
        </is>
      </c>
      <c r="G52" s="3" t="inlineStr">
        <is>
          <t>Single</t>
        </is>
      </c>
      <c r="H52" s="3" t="inlineStr">
        <is>
          <t>VARCHAR</t>
        </is>
      </c>
      <c r="I52" s="3" t="inlineStr">
        <is>
          <t>NEEDS SOURCE TEXT</t>
        </is>
      </c>
      <c r="J52" s="3" t="inlineStr">
        <is>
          <t>Supply full source text: OSCAL model, OSCAL element path, Original Notes. Confirm exact underscore position/count in EVIDENCE_REPOSITORY_AUTHORITATIVE_SOURCE__SECTION_INPUT.</t>
        </is>
      </c>
      <c r="K52" s="3" t="inlineStr">
        <is>
          <t>SEC01</t>
        </is>
      </c>
      <c r="L52" s="3" t="inlineStr"/>
      <c r="M52" s="3" t="inlineStr"/>
    </row>
    <row r="53">
      <c r="A53" s="3" t="inlineStr">
        <is>
          <t>53</t>
        </is>
      </c>
      <c r="B53" s="3" t="inlineStr">
        <is>
          <t>ATTACHMENTS</t>
        </is>
      </c>
      <c r="C53" s="3" t="inlineStr">
        <is>
          <t>Catalog - Back M[CLIPPED]</t>
        </is>
      </c>
      <c r="D53" s="3" t="inlineStr">
        <is>
          <t>catalog.back-matter.resource[@uuid].base64</t>
        </is>
      </c>
      <c r="E53" s="3" t="inlineStr">
        <is>
          <t>Direct</t>
        </is>
      </c>
      <c r="F53" s="3" t="inlineStr">
        <is>
          <t>Binary attachments as base64</t>
        </is>
      </c>
      <c r="G53" s="3" t="inlineStr">
        <is>
          <t>Single</t>
        </is>
      </c>
      <c r="H53" s="3" t="inlineStr">
        <is>
          <t>VARCHAR</t>
        </is>
      </c>
      <c r="I53" s="3" t="inlineStr">
        <is>
          <t>NEEDS SOURCE TEXT</t>
        </is>
      </c>
      <c r="J53" s="3" t="inlineStr">
        <is>
          <t>Supply full source text: OSCAL model.</t>
        </is>
      </c>
      <c r="K53" s="3" t="inlineStr">
        <is>
          <t>SEC01</t>
        </is>
      </c>
      <c r="L53" s="3" t="inlineStr"/>
      <c r="M53" s="3" t="inlineStr"/>
    </row>
    <row r="54">
      <c r="A54" s="3" t="inlineStr">
        <is>
          <t>54</t>
        </is>
      </c>
      <c r="B54" s="3" t="inlineStr">
        <is>
          <t>DEFAULT_RECORD_PERMISSIONS</t>
        </is>
      </c>
      <c r="C54" s="3" t="inlineStr">
        <is>
          <t>Catalog - Metada[CLIPPED]</t>
        </is>
      </c>
      <c r="D54" s="3" t="inlineStr">
        <is>
          <t>catalog.metadata.role</t>
        </is>
      </c>
      <c r="E54" s="3" t="inlineStr">
        <is>
          <t>Extension Property</t>
        </is>
      </c>
      <c r="F54" s="3" t="inlineStr">
        <is>
          <t>Access control and permissions</t>
        </is>
      </c>
      <c r="G54" s="3" t="inlineStr">
        <is>
          <t>Multi (likely re[CLIPPED]</t>
        </is>
      </c>
      <c r="H54" s="3" t="inlineStr">
        <is>
          <t>VARCHAR</t>
        </is>
      </c>
      <c r="I54" s="3" t="inlineStr">
        <is>
          <t>NEEDS SOURCE TEXT</t>
        </is>
      </c>
      <c r="J54" s="3" t="inlineStr">
        <is>
          <t>Supply full source text: Cardinality, OSCAL model.</t>
        </is>
      </c>
      <c r="K54" s="3" t="inlineStr">
        <is>
          <t>SEC01</t>
        </is>
      </c>
      <c r="L54" s="3" t="inlineStr"/>
      <c r="M54" s="3" t="inlineStr"/>
    </row>
    <row r="55">
      <c r="A55" s="3" t="inlineStr">
        <is>
          <t>55</t>
        </is>
      </c>
      <c r="B55" s="3" t="inlineStr">
        <is>
          <t>SECTION_DATE_CREATED</t>
        </is>
      </c>
      <c r="C55" s="3" t="inlineStr">
        <is>
          <t>Catalog - Group</t>
        </is>
      </c>
      <c r="D55" s="3" t="inlineStr">
        <is>
          <t>catalog.group.prop[@name='date-created']</t>
        </is>
      </c>
      <c r="E55" s="3" t="inlineStr">
        <is>
          <t>Transform</t>
        </is>
      </c>
      <c r="F55" s="3" t="inlineStr">
        <is>
          <t>Section creation date; convert to DateTimeWithTimezoneDatatype</t>
        </is>
      </c>
      <c r="G55" s="3" t="inlineStr">
        <is>
          <t>Single</t>
        </is>
      </c>
      <c r="H55" s="3" t="inlineStr">
        <is>
          <t>TIMESTAMP</t>
        </is>
      </c>
      <c r="I55" s="3" t="inlineStr">
        <is>
          <t>CORE TEXT CAPTURED</t>
        </is>
      </c>
      <c r="J55" s="3" t="inlineStr"/>
      <c r="K55" s="3" t="inlineStr">
        <is>
          <t>SEC01</t>
        </is>
      </c>
      <c r="L55" s="3" t="inlineStr"/>
      <c r="M55" s="3" t="inlineStr"/>
    </row>
    <row r="56">
      <c r="A56" s="3" t="inlineStr">
        <is>
          <t>56</t>
        </is>
      </c>
      <c r="B56" s="3" t="inlineStr">
        <is>
          <t>SECTION_LAST_UPDATED</t>
        </is>
      </c>
      <c r="C56" s="3" t="inlineStr">
        <is>
          <t>Catalog - Group</t>
        </is>
      </c>
      <c r="D56" s="3" t="inlineStr">
        <is>
          <t>catalog.group.prop[@name='last-updated']</t>
        </is>
      </c>
      <c r="E56" s="3" t="inlineStr">
        <is>
          <t>Transform</t>
        </is>
      </c>
      <c r="F56" s="3" t="inlineStr">
        <is>
          <t>Section last-modified date; convert to DateTimeWithTimezoneDatatype</t>
        </is>
      </c>
      <c r="G56" s="3" t="inlineStr">
        <is>
          <t>Single</t>
        </is>
      </c>
      <c r="H56" s="3" t="inlineStr">
        <is>
          <t>TIMESTAMP</t>
        </is>
      </c>
      <c r="I56" s="3" t="inlineStr">
        <is>
          <t>CORE TEXT CAPTURED</t>
        </is>
      </c>
      <c r="J56" s="3" t="inlineStr"/>
      <c r="K56" s="3" t="inlineStr">
        <is>
          <t>SEC01</t>
        </is>
      </c>
      <c r="L56" s="3" t="inlineStr"/>
      <c r="M56" s="3" t="inlineStr"/>
    </row>
    <row r="57">
      <c r="A57" s="3" t="inlineStr">
        <is>
          <t>57</t>
        </is>
      </c>
      <c r="B57" s="3" t="inlineStr">
        <is>
          <t>ARCHER_CONTENT_AUTHORITATIVE_SOURCES_SECTION_FIRST_PUBLISHED</t>
        </is>
      </c>
      <c r="C57" s="3" t="inlineStr">
        <is>
          <t>Catalog - Metada[CLIPPED]</t>
        </is>
      </c>
      <c r="D57" s="3" t="inlineStr">
        <is>
          <t>catalog.metadata.published</t>
        </is>
      </c>
      <c r="E57" s="3" t="inlineStr">
        <is>
          <t>Transform</t>
        </is>
      </c>
      <c r="F57" s="3" t="inlineStr">
        <is>
          <t>First publication in Archer; convert to DateTimeWithTimezoneDatatype</t>
        </is>
      </c>
      <c r="G57" s="3" t="inlineStr">
        <is>
          <t>Single</t>
        </is>
      </c>
      <c r="H57" s="3" t="inlineStr">
        <is>
          <t>TIMESTAMP</t>
        </is>
      </c>
      <c r="I57" s="3" t="inlineStr">
        <is>
          <t>NEEDS SOURCE TEXT</t>
        </is>
      </c>
      <c r="J57" s="3" t="inlineStr">
        <is>
          <t>Supply full source text: OSCAL model.</t>
        </is>
      </c>
      <c r="K57" s="3" t="inlineStr">
        <is>
          <t>SEC01</t>
        </is>
      </c>
      <c r="L57" s="3" t="inlineStr"/>
      <c r="M57" s="3" t="inlineStr"/>
    </row>
    <row r="58">
      <c r="A58" s="3" t="inlineStr">
        <is>
          <t>58</t>
        </is>
      </c>
      <c r="B58" s="3" t="inlineStr">
        <is>
          <t>ARCHER_CONTENT_AUTHORITATIVE_SOURCES_SECTION_LAST_UPDATED</t>
        </is>
      </c>
      <c r="C58" s="3" t="inlineStr">
        <is>
          <t>Catalog - Metada[CLIPPED]</t>
        </is>
      </c>
      <c r="D58" s="3" t="inlineStr">
        <is>
          <t>catalog.metadata.last-modified</t>
        </is>
      </c>
      <c r="E58" s="3" t="inlineStr">
        <is>
          <t>Transform</t>
        </is>
      </c>
      <c r="F58" s="3" t="inlineStr">
        <is>
          <t>Last update in Archer; convert to DateTimeWithTimezoneDatatype</t>
        </is>
      </c>
      <c r="G58" s="3" t="inlineStr">
        <is>
          <t>Single</t>
        </is>
      </c>
      <c r="H58" s="3" t="inlineStr">
        <is>
          <t>TIMESTAMP</t>
        </is>
      </c>
      <c r="I58" s="3" t="inlineStr">
        <is>
          <t>NEEDS SOURCE TEXT</t>
        </is>
      </c>
      <c r="J58" s="3" t="inlineStr">
        <is>
          <t>Supply full source text: OSCAL model.</t>
        </is>
      </c>
      <c r="K58" s="3" t="inlineStr">
        <is>
          <t>SEC01</t>
        </is>
      </c>
      <c r="L58" s="3" t="inlineStr"/>
      <c r="M58" s="3" t="inlineStr"/>
    </row>
    <row r="59">
      <c r="A59" s="3" t="inlineStr">
        <is>
          <t>59</t>
        </is>
      </c>
      <c r="B59" s="3" t="inlineStr">
        <is>
          <t>ARCHER_CONTENT_AUTHORITATIVE_SOURCES_SECTION_CONFIRMED_IN_ARCHER</t>
        </is>
      </c>
      <c r="C59" s="3" t="inlineStr">
        <is>
          <t>Catalog - Group</t>
        </is>
      </c>
      <c r="D59" s="3" t="inlineStr">
        <is>
          <t>catalog.group.prop[@name='confirmed-date']</t>
        </is>
      </c>
      <c r="E59" s="3" t="inlineStr">
        <is>
          <t>Transform</t>
        </is>
      </c>
      <c r="F59" s="3" t="inlineStr">
        <is>
          <t>Confirmation/verification date; convert to DateTimeWithTimezoneDatatype</t>
        </is>
      </c>
      <c r="G59" s="3" t="inlineStr">
        <is>
          <t>Single</t>
        </is>
      </c>
      <c r="H59" s="3" t="inlineStr">
        <is>
          <t>TIMESTAMP</t>
        </is>
      </c>
      <c r="I59" s="3" t="inlineStr">
        <is>
          <t>CORE TEXT CAPTURED</t>
        </is>
      </c>
      <c r="J59" s="3" t="inlineStr"/>
      <c r="K59" s="3" t="inlineStr">
        <is>
          <t>SEC01</t>
        </is>
      </c>
      <c r="L59" s="3" t="inlineStr"/>
      <c r="M59" s="3" t="inlineStr"/>
    </row>
    <row r="60">
      <c r="A60" s="3" t="inlineStr">
        <is>
          <t>60</t>
        </is>
      </c>
      <c r="B60" s="3" t="inlineStr">
        <is>
          <t>INSERT_DATE</t>
        </is>
      </c>
      <c r="C60" s="3" t="inlineStr">
        <is>
          <t>N/A - System Metadata</t>
        </is>
      </c>
      <c r="D60" s="3" t="inlineStr"/>
      <c r="E60" s="3" t="inlineStr">
        <is>
          <t>System Metadata</t>
        </is>
      </c>
      <c r="F60" s="3" t="inlineStr">
        <is>
          <t>ETL/data warehouse field - not typically mapped to OSCAL</t>
        </is>
      </c>
      <c r="G60" s="3" t="inlineStr">
        <is>
          <t>Single</t>
        </is>
      </c>
      <c r="H60" s="3" t="inlineStr">
        <is>
          <t>TIMESTAMP</t>
        </is>
      </c>
      <c r="I60" s="3" t="inlineStr">
        <is>
          <t>CORE TEXT CAPTURED</t>
        </is>
      </c>
      <c r="J60" s="3" t="inlineStr"/>
      <c r="K60" s="3" t="inlineStr">
        <is>
          <t>SEC01</t>
        </is>
      </c>
      <c r="L60" s="3" t="inlineStr"/>
      <c r="M60" s="3" t="inlineStr"/>
    </row>
    <row r="61">
      <c r="A61" s="3" t="inlineStr">
        <is>
          <t>61</t>
        </is>
      </c>
      <c r="B61" s="3" t="inlineStr">
        <is>
          <t>UPDATE_DATE</t>
        </is>
      </c>
      <c r="C61" s="3" t="inlineStr">
        <is>
          <t>N/A - System Metadata</t>
        </is>
      </c>
      <c r="D61" s="3" t="inlineStr"/>
      <c r="E61" s="3" t="inlineStr">
        <is>
          <t>System Metadata</t>
        </is>
      </c>
      <c r="F61" s="3" t="inlineStr">
        <is>
          <t>ETL/data warehouse field - not typically mapped to OSCAL</t>
        </is>
      </c>
      <c r="G61" s="3" t="inlineStr">
        <is>
          <t>Single</t>
        </is>
      </c>
      <c r="H61" s="3" t="inlineStr">
        <is>
          <t>TIMESTAMP</t>
        </is>
      </c>
      <c r="I61" s="3" t="inlineStr">
        <is>
          <t>CORE TEXT CAPTURED</t>
        </is>
      </c>
      <c r="J61" s="3" t="inlineStr"/>
      <c r="K61" s="3" t="inlineStr">
        <is>
          <t>SEC01</t>
        </is>
      </c>
      <c r="L61" s="3" t="inlineStr"/>
      <c r="M61" s="3" t="inlineStr"/>
    </row>
    <row r="62">
      <c r="A62" s="3" t="inlineStr">
        <is>
          <t>62</t>
        </is>
      </c>
      <c r="B62" s="3" t="inlineStr">
        <is>
          <t>CHECKSUM_VALUE</t>
        </is>
      </c>
      <c r="C62" s="3" t="inlineStr">
        <is>
          <t>N/A - System Metadata</t>
        </is>
      </c>
      <c r="D62" s="3" t="inlineStr"/>
      <c r="E62" s="3" t="inlineStr">
        <is>
          <t>System Metadata</t>
        </is>
      </c>
      <c r="F62" s="3" t="inlineStr">
        <is>
          <t>Data integrity field - not typically mapped to OSCAL</t>
        </is>
      </c>
      <c r="G62" s="3" t="inlineStr">
        <is>
          <t>Single</t>
        </is>
      </c>
      <c r="H62" s="3" t="inlineStr">
        <is>
          <t>VARCHAR</t>
        </is>
      </c>
      <c r="I62" s="3" t="inlineStr">
        <is>
          <t>CORE TEXT CAPTURED</t>
        </is>
      </c>
      <c r="J62" s="3" t="inlineStr"/>
      <c r="K62" s="3" t="inlineStr">
        <is>
          <t>SEC01</t>
        </is>
      </c>
      <c r="L62" s="3" t="inlineStr"/>
      <c r="M62" s="3" t="inlineStr"/>
    </row>
    <row r="63">
      <c r="A63" s="3" t="inlineStr">
        <is>
          <t>63</t>
        </is>
      </c>
      <c r="B63" s="3" t="inlineStr">
        <is>
          <t>_OF_NONCOMPLIANT_CONTROLS</t>
        </is>
      </c>
      <c r="C63" s="3" t="inlineStr">
        <is>
          <t>Assessment Resu[CLIPPED]</t>
        </is>
      </c>
      <c r="D63" s="3" t="inlineStr">
        <is>
          <t>assessment-results.result.prop[@name='nonc[CLIPPED]</t>
        </is>
      </c>
      <c r="E63" s="3" t="inlineStr">
        <is>
          <t>Extension Property</t>
        </is>
      </c>
      <c r="F63" s="3" t="inlineStr">
        <is>
          <t>Appears to be duplicate/truncated field name - likely COUNT_OF_NONCOMPLIANT_CONTROLS or PCT_O[CLIPPED]</t>
        </is>
      </c>
      <c r="G63" s="3" t="inlineStr">
        <is>
          <t>Single</t>
        </is>
      </c>
      <c r="H63" s="3" t="inlineStr">
        <is>
          <t>DECIMAL</t>
        </is>
      </c>
      <c r="I63" s="3" t="inlineStr">
        <is>
          <t>NEEDS SOURCE TEXT</t>
        </is>
      </c>
      <c r="J63" s="3" t="inlineStr">
        <is>
          <t>Supply full source text: OSCAL model, OSCAL element path, Original Notes.</t>
        </is>
      </c>
      <c r="K63" s="3" t="inlineStr">
        <is>
          <t>SEC01</t>
        </is>
      </c>
      <c r="L63" s="3" t="inlineStr"/>
      <c r="M63" s="3" t="inlineStr"/>
    </row>
  </sheetData>
  <autoFilter ref="A1:M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46" customWidth="1" min="4" max="4"/>
    <col width="20" customWidth="1" min="5" max="5"/>
    <col width="44" customWidth="1" min="6" max="6"/>
    <col width="20" customWidth="1" min="7" max="7"/>
    <col width="18" customWidth="1" min="8" max="8"/>
    <col width="22" customWidth="1" min="9" max="9"/>
    <col width="34" customWidth="1" min="10" max="10"/>
    <col width="18" customWidth="1" min="11" max="11"/>
    <col width="36" customWidth="1" min="12" max="12"/>
    <col width="24" customWidth="1" min="13" max="13"/>
  </cols>
  <sheetData>
    <row r="1">
      <c r="A1" s="1" t="inlineStr">
        <is>
          <t>Worksheet row</t>
        </is>
      </c>
      <c r="B1" s="1" t="inlineStr">
        <is>
          <t>Archer field name</t>
        </is>
      </c>
      <c r="C1" s="1" t="inlineStr">
        <is>
          <t>OSCAL model</t>
        </is>
      </c>
      <c r="D1" s="1" t="inlineStr">
        <is>
          <t>OSCAL element path</t>
        </is>
      </c>
      <c r="E1" s="1" t="inlineStr">
        <is>
          <t>Mapping type</t>
        </is>
      </c>
      <c r="F1" s="1" t="inlineStr">
        <is>
          <t>Original Notes</t>
        </is>
      </c>
      <c r="G1" s="1" t="inlineStr">
        <is>
          <t>Cardinality</t>
        </is>
      </c>
      <c r="H1" s="1" t="inlineStr">
        <is>
          <t>Archer data type</t>
        </is>
      </c>
      <c r="I1" s="1" t="inlineStr">
        <is>
          <t>Transcription status</t>
        </is>
      </c>
      <c r="J1" s="1" t="inlineStr">
        <is>
          <t>Clarification needed</t>
        </is>
      </c>
      <c r="K1" s="1" t="inlineStr">
        <is>
          <t>Evidence</t>
        </is>
      </c>
      <c r="L1" s="1" t="inlineStr">
        <is>
          <t>Transformation logic</t>
        </is>
      </c>
      <c r="M1" s="1" t="inlineStr">
        <is>
          <t>OSCAL data type</t>
        </is>
      </c>
    </row>
    <row r="2">
      <c r="A2" s="3" t="inlineStr">
        <is>
          <t>2</t>
        </is>
      </c>
      <c r="B2" s="3" t="inlineStr">
        <is>
          <t>SUB_SECTION_NAME</t>
        </is>
      </c>
      <c r="C2" s="3" t="inlineStr">
        <is>
          <t>Catalog - Group</t>
        </is>
      </c>
      <c r="D2" s="3" t="inlineStr">
        <is>
          <t>catalog.group.group[@id].title</t>
        </is>
      </c>
      <c r="E2" s="3" t="inlineStr">
        <is>
          <t>Direct</t>
        </is>
      </c>
      <c r="F2" s="3" t="inlineStr">
        <is>
          <t>Title of the sub-section (nested group)</t>
        </is>
      </c>
      <c r="G2" s="3" t="inlineStr">
        <is>
          <t>Single</t>
        </is>
      </c>
      <c r="H2" s="3" t="inlineStr"/>
      <c r="I2" s="3" t="inlineStr">
        <is>
          <t>CORE TEXT CAPTURED</t>
        </is>
      </c>
      <c r="J2" s="3" t="inlineStr">
        <is>
          <t>Supply full source text: Archer data type not visible.</t>
        </is>
      </c>
      <c r="K2" s="3" t="inlineStr">
        <is>
          <t>SUB01</t>
        </is>
      </c>
      <c r="L2" s="3" t="inlineStr"/>
      <c r="M2" s="3" t="inlineStr"/>
    </row>
    <row r="3">
      <c r="A3" s="3" t="inlineStr">
        <is>
          <t>3</t>
        </is>
      </c>
      <c r="B3" s="3" t="inlineStr">
        <is>
          <t>SUB_SECTION_ID</t>
        </is>
      </c>
      <c r="C3" s="3" t="inlineStr">
        <is>
          <t>Catalog - Group</t>
        </is>
      </c>
      <c r="D3" s="3" t="inlineStr">
        <is>
          <t>catalog.group.group.@id</t>
        </is>
      </c>
      <c r="E3" s="3" t="inlineStr">
        <is>
          <t>Transform</t>
        </is>
      </c>
      <c r="F3" s="3" t="inlineStr">
        <is>
          <t>Nested group identifier; normalize to a valid OSCAL token</t>
        </is>
      </c>
      <c r="G3" s="3" t="inlineStr">
        <is>
          <t>Single</t>
        </is>
      </c>
      <c r="H3" s="3" t="inlineStr"/>
      <c r="I3" s="3" t="inlineStr">
        <is>
          <t>CORE TEXT CAPTURED</t>
        </is>
      </c>
      <c r="J3" s="3" t="inlineStr">
        <is>
          <t>Supply full source text: Archer data type not visible.</t>
        </is>
      </c>
      <c r="K3" s="3" t="inlineStr">
        <is>
          <t>SUB01</t>
        </is>
      </c>
      <c r="L3" s="3" t="inlineStr"/>
      <c r="M3" s="3" t="inlineStr"/>
    </row>
    <row r="4">
      <c r="A4" s="3" t="inlineStr">
        <is>
          <t>4</t>
        </is>
      </c>
      <c r="B4" s="3" t="inlineStr">
        <is>
          <t>SUB_SECTION_TRACKING_ID</t>
        </is>
      </c>
      <c r="C4" s="3" t="inlineStr">
        <is>
          <t>Catalog - Group</t>
        </is>
      </c>
      <c r="D4" s="3" t="inlineStr">
        <is>
          <t>catalog.group.group.prop[@name='tracking-id']</t>
        </is>
      </c>
      <c r="E4" s="3" t="inlineStr">
        <is>
          <t>Extension Property</t>
        </is>
      </c>
      <c r="F4" s="3" t="inlineStr">
        <is>
          <t>Numeric tracking ID; store as property</t>
        </is>
      </c>
      <c r="G4" s="3" t="inlineStr">
        <is>
          <t>Single</t>
        </is>
      </c>
      <c r="H4" s="3" t="inlineStr"/>
      <c r="I4" s="3" t="inlineStr">
        <is>
          <t>CORE TEXT CAPTURED</t>
        </is>
      </c>
      <c r="J4" s="3" t="inlineStr">
        <is>
          <t>Supply full source text: Archer data type not visible.</t>
        </is>
      </c>
      <c r="K4" s="3" t="inlineStr">
        <is>
          <t>SUB01</t>
        </is>
      </c>
      <c r="L4" s="3" t="inlineStr"/>
      <c r="M4" s="3" t="inlineStr"/>
    </row>
    <row r="5">
      <c r="A5" s="3" t="inlineStr">
        <is>
          <t>5</t>
        </is>
      </c>
      <c r="B5" s="3" t="inlineStr">
        <is>
          <t>ARCHER_CONTENT_AUTHORITATIVE_SOURCES_SUB_SECTION_CONTENT_ID</t>
        </is>
      </c>
      <c r="C5" s="3" t="inlineStr">
        <is>
          <t>Catalog - Group</t>
        </is>
      </c>
      <c r="D5" s="3" t="inlineStr">
        <is>
          <t>catalog.group.group.prop[@name='archer-cont[CLIPPED]</t>
        </is>
      </c>
      <c r="E5" s="3" t="inlineStr">
        <is>
          <t>Extension Property</t>
        </is>
      </c>
      <c r="F5" s="3" t="inlineStr">
        <is>
          <t>Original Archer content identifier for reference and traceability</t>
        </is>
      </c>
      <c r="G5" s="3" t="inlineStr">
        <is>
          <t>Single</t>
        </is>
      </c>
      <c r="H5" s="3" t="inlineStr"/>
      <c r="I5" s="3" t="inlineStr">
        <is>
          <t>NEEDS SOURCE TEXT</t>
        </is>
      </c>
      <c r="J5" s="3" t="inlineStr">
        <is>
          <t>Supply full source text: OSCAL element path, Archer data type not visible.</t>
        </is>
      </c>
      <c r="K5" s="3" t="inlineStr">
        <is>
          <t>SUB01</t>
        </is>
      </c>
      <c r="L5" s="3" t="inlineStr"/>
      <c r="M5" s="3" t="inlineStr"/>
    </row>
    <row r="6">
      <c r="A6" s="3" t="inlineStr">
        <is>
          <t>6</t>
        </is>
      </c>
      <c r="B6" s="3" t="inlineStr">
        <is>
          <t>SECTION_NAME</t>
        </is>
      </c>
      <c r="C6" s="3" t="inlineStr">
        <is>
          <t>Catalog - Group</t>
        </is>
      </c>
      <c r="D6" s="3" t="inlineStr">
        <is>
          <t>catalog.group[@id].title</t>
        </is>
      </c>
      <c r="E6" s="3" t="inlineStr">
        <is>
          <t>Reference</t>
        </is>
      </c>
      <c r="F6" s="3" t="inlineStr">
        <is>
          <t>Parent section (group) title; links sub-section to its section</t>
        </is>
      </c>
      <c r="G6" s="3" t="inlineStr">
        <is>
          <t>Single</t>
        </is>
      </c>
      <c r="H6" s="3" t="inlineStr"/>
      <c r="I6" s="3" t="inlineStr">
        <is>
          <t>CORE TEXT CAPTURED</t>
        </is>
      </c>
      <c r="J6" s="3" t="inlineStr">
        <is>
          <t>Supply full source text: Archer data type not visible.</t>
        </is>
      </c>
      <c r="K6" s="3" t="inlineStr">
        <is>
          <t>SUB01</t>
        </is>
      </c>
      <c r="L6" s="3" t="inlineStr"/>
      <c r="M6" s="3" t="inlineStr"/>
    </row>
    <row r="7">
      <c r="A7" s="3" t="inlineStr">
        <is>
          <t>7</t>
        </is>
      </c>
      <c r="B7" s="3" t="inlineStr">
        <is>
          <t>SOURCE_NAME</t>
        </is>
      </c>
      <c r="C7" s="3" t="inlineStr">
        <is>
          <t>Catalog - Metada[CLIPPED]</t>
        </is>
      </c>
      <c r="D7" s="3" t="inlineStr">
        <is>
          <t>catalog.metadata.title</t>
        </is>
      </c>
      <c r="E7" s="3" t="inlineStr">
        <is>
          <t>Reference</t>
        </is>
      </c>
      <c r="F7" s="3" t="inlineStr">
        <is>
          <t>Parent authoritative source (catalog) title</t>
        </is>
      </c>
      <c r="G7" s="3" t="inlineStr">
        <is>
          <t>Single</t>
        </is>
      </c>
      <c r="H7" s="3" t="inlineStr"/>
      <c r="I7" s="3" t="inlineStr">
        <is>
          <t>NEEDS SOURCE TEXT</t>
        </is>
      </c>
      <c r="J7" s="3" t="inlineStr">
        <is>
          <t>Supply full source text: OSCAL model, Archer data type not visible.</t>
        </is>
      </c>
      <c r="K7" s="3" t="inlineStr">
        <is>
          <t>SUB01</t>
        </is>
      </c>
      <c r="L7" s="3" t="inlineStr"/>
      <c r="M7" s="3" t="inlineStr"/>
    </row>
    <row r="8">
      <c r="A8" s="3" t="inlineStr">
        <is>
          <t>8</t>
        </is>
      </c>
      <c r="B8" s="3" t="inlineStr">
        <is>
          <t>TOPIC_NAME</t>
        </is>
      </c>
      <c r="C8" s="3" t="inlineStr">
        <is>
          <t>Catalog - Group</t>
        </is>
      </c>
      <c r="D8" s="3" t="inlineStr">
        <is>
          <t>catalog.group.group.prop[@name='topic']</t>
        </is>
      </c>
      <c r="E8" s="3" t="inlineStr">
        <is>
          <t>Extension Property</t>
        </is>
      </c>
      <c r="F8" s="3" t="inlineStr">
        <is>
          <t>Associated topic name</t>
        </is>
      </c>
      <c r="G8" s="3" t="inlineStr">
        <is>
          <t>Single</t>
        </is>
      </c>
      <c r="H8" s="3" t="inlineStr"/>
      <c r="I8" s="3" t="inlineStr">
        <is>
          <t>CORE TEXT CAPTURED</t>
        </is>
      </c>
      <c r="J8" s="3" t="inlineStr">
        <is>
          <t>Supply full source text: Archer data type not visible.</t>
        </is>
      </c>
      <c r="K8" s="3" t="inlineStr">
        <is>
          <t>SUB01</t>
        </is>
      </c>
      <c r="L8" s="3" t="inlineStr"/>
      <c r="M8" s="3" t="inlineStr"/>
    </row>
    <row r="9">
      <c r="A9" s="3" t="inlineStr">
        <is>
          <t>9</t>
        </is>
      </c>
      <c r="B9" s="3" t="inlineStr">
        <is>
          <t>SUB_SECTION_DESCRIPTION</t>
        </is>
      </c>
      <c r="C9" s="3" t="inlineStr">
        <is>
          <t>Catalog - Group</t>
        </is>
      </c>
      <c r="D9" s="3" t="inlineStr">
        <is>
          <t>catalog.group.group.part[@name='overview'].p[CLIPPED]</t>
        </is>
      </c>
      <c r="E9" s="3" t="inlineStr">
        <is>
          <t>Direct</t>
        </is>
      </c>
      <c r="F9" s="3" t="inlineStr">
        <is>
          <t>Full sub-section description</t>
        </is>
      </c>
      <c r="G9" s="3" t="inlineStr">
        <is>
          <t>Single</t>
        </is>
      </c>
      <c r="H9" s="3" t="inlineStr"/>
      <c r="I9" s="3" t="inlineStr">
        <is>
          <t>NEEDS SOURCE TEXT</t>
        </is>
      </c>
      <c r="J9" s="3" t="inlineStr">
        <is>
          <t>Supply full source text: OSCAL element path, Archer data type not visible.</t>
        </is>
      </c>
      <c r="K9" s="3" t="inlineStr">
        <is>
          <t>SUB01</t>
        </is>
      </c>
      <c r="L9" s="3" t="inlineStr"/>
      <c r="M9" s="3" t="inlineStr"/>
    </row>
    <row r="10">
      <c r="A10" s="3" t="inlineStr">
        <is>
          <t>10</t>
        </is>
      </c>
      <c r="B10" s="3" t="inlineStr">
        <is>
          <t>SUB_SECTION_SHORT_DESCRIPTION</t>
        </is>
      </c>
      <c r="C10" s="3" t="inlineStr">
        <is>
          <t>Catalog - Group</t>
        </is>
      </c>
      <c r="D10" s="3" t="inlineStr">
        <is>
          <t>catalog.group.group.prop[@name='short-descr[CLIPPED]</t>
        </is>
      </c>
      <c r="E10" s="3" t="inlineStr">
        <is>
          <t>Extension Property</t>
        </is>
      </c>
      <c r="F10" s="3" t="inlineStr">
        <is>
          <t>Short sub-section description</t>
        </is>
      </c>
      <c r="G10" s="3" t="inlineStr">
        <is>
          <t>Single</t>
        </is>
      </c>
      <c r="H10" s="3" t="inlineStr"/>
      <c r="I10" s="3" t="inlineStr">
        <is>
          <t>NEEDS SOURCE TEXT</t>
        </is>
      </c>
      <c r="J10" s="3" t="inlineStr">
        <is>
          <t>Supply full source text: OSCAL element path, Archer data type not visible.</t>
        </is>
      </c>
      <c r="K10" s="3" t="inlineStr">
        <is>
          <t>SUB01</t>
        </is>
      </c>
      <c r="L10" s="3" t="inlineStr"/>
      <c r="M10" s="3" t="inlineStr"/>
    </row>
    <row r="11">
      <c r="A11" s="3" t="inlineStr">
        <is>
          <t>11</t>
        </is>
      </c>
      <c r="B11" s="3" t="inlineStr">
        <is>
          <t>INFORMATION</t>
        </is>
      </c>
      <c r="C11" s="3" t="inlineStr">
        <is>
          <t>Catalog - Group</t>
        </is>
      </c>
      <c r="D11" s="3" t="inlineStr">
        <is>
          <t>catalog.group.group.part[@name='information'[CLIPPED]</t>
        </is>
      </c>
      <c r="E11" s="3" t="inlineStr">
        <is>
          <t>Direct</t>
        </is>
      </c>
      <c r="F11" s="3" t="inlineStr">
        <is>
          <t>Additional information about the sub-section</t>
        </is>
      </c>
      <c r="G11" s="3" t="inlineStr">
        <is>
          <t>Single</t>
        </is>
      </c>
      <c r="H11" s="3" t="inlineStr"/>
      <c r="I11" s="3" t="inlineStr">
        <is>
          <t>NEEDS SOURCE TEXT</t>
        </is>
      </c>
      <c r="J11" s="3" t="inlineStr">
        <is>
          <t>Supply full source text: OSCAL element path, Archer data type not visible.</t>
        </is>
      </c>
      <c r="K11" s="3" t="inlineStr">
        <is>
          <t>SUB01</t>
        </is>
      </c>
      <c r="L11" s="3" t="inlineStr"/>
      <c r="M11" s="3" t="inlineStr"/>
    </row>
    <row r="12">
      <c r="A12" s="3" t="inlineStr">
        <is>
          <t>12</t>
        </is>
      </c>
      <c r="B12" s="3" t="inlineStr">
        <is>
          <t>CRITICALITY</t>
        </is>
      </c>
      <c r="C12" s="3" t="inlineStr">
        <is>
          <t>Catalog - Group</t>
        </is>
      </c>
      <c r="D12" s="3" t="inlineStr">
        <is>
          <t>catalog.group.group.prop[@name='criticality']</t>
        </is>
      </c>
      <c r="E12" s="3" t="inlineStr">
        <is>
          <t>Extension Property</t>
        </is>
      </c>
      <c r="F12" s="3" t="inlineStr">
        <is>
          <t>Criticality level of the sub-section</t>
        </is>
      </c>
      <c r="G12" s="3" t="inlineStr">
        <is>
          <t>Single</t>
        </is>
      </c>
      <c r="H12" s="3" t="inlineStr"/>
      <c r="I12" s="3" t="inlineStr">
        <is>
          <t>CORE TEXT CAPTURED</t>
        </is>
      </c>
      <c r="J12" s="3" t="inlineStr">
        <is>
          <t>Supply full source text: Archer data type not visible.</t>
        </is>
      </c>
      <c r="K12" s="3" t="inlineStr">
        <is>
          <t>SUB01</t>
        </is>
      </c>
      <c r="L12" s="3" t="inlineStr"/>
      <c r="M12" s="3" t="inlineStr"/>
    </row>
    <row r="13">
      <c r="A13" s="3" t="inlineStr">
        <is>
          <t>13</t>
        </is>
      </c>
      <c r="B13" s="3" t="inlineStr">
        <is>
          <t>SUBSECTION_CRITICALITY_VALUE</t>
        </is>
      </c>
      <c r="C13" s="3" t="inlineStr">
        <is>
          <t>Catalog - Group</t>
        </is>
      </c>
      <c r="D13" s="3" t="inlineStr">
        <is>
          <t>catalog.group.group.prop[@name='criticality-va[CLIPPED]</t>
        </is>
      </c>
      <c r="E13" s="3" t="inlineStr">
        <is>
          <t>Extension Property</t>
        </is>
      </c>
      <c r="F13" s="3" t="inlineStr">
        <is>
          <t>Criticality score; note field spelled SUBSECTION (no underscore) - inconsistent with SUB_SECTION_C[CLIPPED]</t>
        </is>
      </c>
      <c r="G13" s="3" t="inlineStr">
        <is>
          <t>Single</t>
        </is>
      </c>
      <c r="H13" s="3" t="inlineStr"/>
      <c r="I13" s="3" t="inlineStr">
        <is>
          <t>NEEDS SOURCE TEXT</t>
        </is>
      </c>
      <c r="J13" s="3" t="inlineStr">
        <is>
          <t>Supply full source text: OSCAL element path, Original Notes, Archer data type not visible.</t>
        </is>
      </c>
      <c r="K13" s="3" t="inlineStr">
        <is>
          <t>SUB01</t>
        </is>
      </c>
      <c r="L13" s="3" t="inlineStr"/>
      <c r="M13" s="3" t="inlineStr"/>
    </row>
    <row r="14">
      <c r="A14" s="3" t="inlineStr">
        <is>
          <t>14</t>
        </is>
      </c>
      <c r="B14" s="3" t="inlineStr">
        <is>
          <t>IMPLEMENTATION_STATEMENT</t>
        </is>
      </c>
      <c r="C14" s="3" t="inlineStr">
        <is>
          <t>SSP or Componen[CLIPPED]</t>
        </is>
      </c>
      <c r="D14" s="3" t="inlineStr">
        <is>
          <t>ssp.control-implementation.implemented-requ[CLIPPED]</t>
        </is>
      </c>
      <c r="E14" s="3" t="inlineStr">
        <is>
          <t>Direct</t>
        </is>
      </c>
      <c r="F14" s="3" t="inlineStr">
        <is>
          <t>Control implementation statement</t>
        </is>
      </c>
      <c r="G14" s="3" t="inlineStr">
        <is>
          <t>Single</t>
        </is>
      </c>
      <c r="H14" s="3" t="inlineStr"/>
      <c r="I14" s="3" t="inlineStr">
        <is>
          <t>NEEDS SOURCE TEXT</t>
        </is>
      </c>
      <c r="J14" s="3" t="inlineStr">
        <is>
          <t>Supply full source text: OSCAL model, OSCAL element path, Archer data type not visible.</t>
        </is>
      </c>
      <c r="K14" s="3" t="inlineStr">
        <is>
          <t>SUB01</t>
        </is>
      </c>
      <c r="L14" s="3" t="inlineStr"/>
      <c r="M14" s="3" t="inlineStr"/>
    </row>
    <row r="15">
      <c r="A15" s="3" t="inlineStr">
        <is>
          <t>15</t>
        </is>
      </c>
      <c r="B15" s="3" t="inlineStr">
        <is>
          <t>ATO_GUIDANCE</t>
        </is>
      </c>
      <c r="C15" s="3" t="inlineStr">
        <is>
          <t>SSP</t>
        </is>
      </c>
      <c r="D15" s="3" t="inlineStr">
        <is>
          <t>ssp.control-implementation.implemented-requ[CLIPPED]</t>
        </is>
      </c>
      <c r="E15" s="3" t="inlineStr">
        <is>
          <t>Extension Property</t>
        </is>
      </c>
      <c r="F15" s="3" t="inlineStr">
        <is>
          <t>Authorization-to-Operate guidance</t>
        </is>
      </c>
      <c r="G15" s="3" t="inlineStr">
        <is>
          <t>Single</t>
        </is>
      </c>
      <c r="H15" s="3" t="inlineStr"/>
      <c r="I15" s="3" t="inlineStr">
        <is>
          <t>NEEDS SOURCE TEXT</t>
        </is>
      </c>
      <c r="J15" s="3" t="inlineStr">
        <is>
          <t>Supply full source text: OSCAL element path, Archer data type not visible.</t>
        </is>
      </c>
      <c r="K15" s="3" t="inlineStr">
        <is>
          <t>SUB01</t>
        </is>
      </c>
      <c r="L15" s="3" t="inlineStr"/>
      <c r="M15" s="3" t="inlineStr"/>
    </row>
    <row r="16">
      <c r="A16" s="3" t="inlineStr">
        <is>
          <t>16</t>
        </is>
      </c>
      <c r="B16" s="3" t="inlineStr">
        <is>
          <t>SECTION_REFERENCES</t>
        </is>
      </c>
      <c r="C16" s="3" t="inlineStr">
        <is>
          <t>Catalog</t>
        </is>
      </c>
      <c r="D16" s="3" t="inlineStr">
        <is>
          <t>catalog.group[@id]</t>
        </is>
      </c>
      <c r="E16" s="3" t="inlineStr">
        <is>
          <t>Reference</t>
        </is>
      </c>
      <c r="F16" s="3" t="inlineStr">
        <is>
          <t>Parent section reference (owning group)</t>
        </is>
      </c>
      <c r="G16" s="3" t="inlineStr">
        <is>
          <t>Multi (likely ref[CLIPPED]</t>
        </is>
      </c>
      <c r="H16" s="3" t="inlineStr"/>
      <c r="I16" s="3" t="inlineStr">
        <is>
          <t>CORE TEXT CAPTURED</t>
        </is>
      </c>
      <c r="J16" s="3" t="inlineStr">
        <is>
          <t>Supply full source text: Cardinality, Archer data type not visible.</t>
        </is>
      </c>
      <c r="K16" s="3" t="inlineStr">
        <is>
          <t>SUB01</t>
        </is>
      </c>
      <c r="L16" s="3" t="inlineStr"/>
      <c r="M16" s="3" t="inlineStr"/>
    </row>
    <row r="17">
      <c r="A17" s="3" t="inlineStr">
        <is>
          <t>17</t>
        </is>
      </c>
      <c r="B17" s="3" t="inlineStr">
        <is>
          <t>ALL_RELATED_SUB_SECTION_RECORDS</t>
        </is>
      </c>
      <c r="C17" s="3" t="inlineStr">
        <is>
          <t>Catalog</t>
        </is>
      </c>
      <c r="D17" s="3" t="inlineStr">
        <is>
          <t>catalog.group.group.link[@rel='related']</t>
        </is>
      </c>
      <c r="E17" s="3" t="inlineStr">
        <is>
          <t>Reference</t>
        </is>
      </c>
      <c r="F17" s="3" t="inlineStr">
        <is>
          <t>All related sub-section records</t>
        </is>
      </c>
      <c r="G17" s="3" t="inlineStr">
        <is>
          <t>Multi (likely ref[CLIPPED]</t>
        </is>
      </c>
      <c r="H17" s="3" t="inlineStr"/>
      <c r="I17" s="3" t="inlineStr">
        <is>
          <t>CORE TEXT CAPTURED</t>
        </is>
      </c>
      <c r="J17" s="3" t="inlineStr">
        <is>
          <t>Supply full source text: Cardinality, Archer data type not visible.</t>
        </is>
      </c>
      <c r="K17" s="3" t="inlineStr">
        <is>
          <t>SUB01</t>
        </is>
      </c>
      <c r="L17" s="3" t="inlineStr"/>
      <c r="M17" s="3" t="inlineStr"/>
    </row>
    <row r="18">
      <c r="A18" s="3" t="inlineStr">
        <is>
          <t>18</t>
        </is>
      </c>
      <c r="B18" s="3" t="inlineStr">
        <is>
          <t>ALL_SUB_SECTIONS_CALC</t>
        </is>
      </c>
      <c r="C18" s="3" t="inlineStr">
        <is>
          <t>Catalog</t>
        </is>
      </c>
      <c r="D18" s="3" t="inlineStr">
        <is>
          <t>catalog.group.group.link[@rel='related']</t>
        </is>
      </c>
      <c r="E18" s="3" t="inlineStr">
        <is>
          <t>Reference</t>
        </is>
      </c>
      <c r="F18" s="3" t="inlineStr">
        <is>
          <t>Calculated all-sub-sections list</t>
        </is>
      </c>
      <c r="G18" s="3" t="inlineStr">
        <is>
          <t>Multi (likely ref[CLIPPED]</t>
        </is>
      </c>
      <c r="H18" s="3" t="inlineStr"/>
      <c r="I18" s="3" t="inlineStr">
        <is>
          <t>CORE TEXT CAPTURED</t>
        </is>
      </c>
      <c r="J18" s="3" t="inlineStr">
        <is>
          <t>Supply full source text: Cardinality, Archer data type not visible.</t>
        </is>
      </c>
      <c r="K18" s="3" t="inlineStr">
        <is>
          <t>SUB01</t>
        </is>
      </c>
      <c r="L18" s="3" t="inlineStr"/>
      <c r="M18" s="3" t="inlineStr"/>
    </row>
    <row r="19">
      <c r="A19" s="3" t="inlineStr">
        <is>
          <t>19</t>
        </is>
      </c>
      <c r="B19" s="3" t="inlineStr">
        <is>
          <t>AUTHORITATIVE_SOURCES_ALL_RELATED_SUB_SECTION_RECORDS</t>
        </is>
      </c>
      <c r="C19" s="3" t="inlineStr">
        <is>
          <t>Catalog</t>
        </is>
      </c>
      <c r="D19" s="3" t="inlineStr">
        <is>
          <t>catalog.group.group.link[@rel='related']</t>
        </is>
      </c>
      <c r="E19" s="3" t="inlineStr">
        <is>
          <t>Reference</t>
        </is>
      </c>
      <c r="F19" s="3" t="inlineStr">
        <is>
          <t>All related sub-section records (auth-source scoped)</t>
        </is>
      </c>
      <c r="G19" s="3" t="inlineStr">
        <is>
          <t>Multi (likely ref[CLIPPED]</t>
        </is>
      </c>
      <c r="H19" s="3" t="inlineStr"/>
      <c r="I19" s="3" t="inlineStr">
        <is>
          <t>CORE TEXT CAPTURED</t>
        </is>
      </c>
      <c r="J19" s="3" t="inlineStr">
        <is>
          <t>Supply full source text: Cardinality, Archer data type not visible.</t>
        </is>
      </c>
      <c r="K19" s="3" t="inlineStr">
        <is>
          <t>SUB01</t>
        </is>
      </c>
      <c r="L19" s="3" t="inlineStr"/>
      <c r="M19" s="3" t="inlineStr"/>
    </row>
    <row r="20">
      <c r="A20" s="3" t="inlineStr">
        <is>
          <t>20</t>
        </is>
      </c>
      <c r="B20" s="3" t="inlineStr">
        <is>
          <t>AUTHORITATIVE_SOURCES_ALL_SUB_SECTIONS</t>
        </is>
      </c>
      <c r="C20" s="3" t="inlineStr">
        <is>
          <t>Catalog</t>
        </is>
      </c>
      <c r="D20" s="3" t="inlineStr">
        <is>
          <t>catalog.group.group.link[@rel='related']</t>
        </is>
      </c>
      <c r="E20" s="3" t="inlineStr">
        <is>
          <t>Reference</t>
        </is>
      </c>
      <c r="F20" s="3" t="inlineStr">
        <is>
          <t>All sub-sections (auth-source scoped)</t>
        </is>
      </c>
      <c r="G20" s="3" t="inlineStr">
        <is>
          <t>Multi (likely ref[CLIPPED]</t>
        </is>
      </c>
      <c r="H20" s="3" t="inlineStr"/>
      <c r="I20" s="3" t="inlineStr">
        <is>
          <t>CORE TEXT CAPTURED</t>
        </is>
      </c>
      <c r="J20" s="3" t="inlineStr">
        <is>
          <t>Supply full source text: Cardinality, Archer data type not visible.</t>
        </is>
      </c>
      <c r="K20" s="3" t="inlineStr">
        <is>
          <t>SUB01</t>
        </is>
      </c>
      <c r="L20" s="3" t="inlineStr"/>
      <c r="M20" s="3" t="inlineStr"/>
    </row>
    <row r="21">
      <c r="A21" s="3" t="inlineStr">
        <is>
          <t>21</t>
        </is>
      </c>
      <c r="B21" s="3" t="inlineStr">
        <is>
          <t>AUTHORITATIVE_SOURCES_THIS_RECORD</t>
        </is>
      </c>
      <c r="C21" s="3" t="inlineStr">
        <is>
          <t>Catalog</t>
        </is>
      </c>
      <c r="D21" s="3" t="inlineStr">
        <is>
          <t>catalog.group.group.@id</t>
        </is>
      </c>
      <c r="E21" s="3" t="inlineStr">
        <is>
          <t>Reference</t>
        </is>
      </c>
      <c r="F21" s="3" t="inlineStr">
        <is>
          <t>Self-reference to this record; overlaps with THIS_RECORD - verify canonical column</t>
        </is>
      </c>
      <c r="G21" s="3" t="inlineStr">
        <is>
          <t>Single</t>
        </is>
      </c>
      <c r="H21" s="3" t="inlineStr"/>
      <c r="I21" s="3" t="inlineStr">
        <is>
          <t>CORE TEXT CAPTURED</t>
        </is>
      </c>
      <c r="J21" s="3" t="inlineStr">
        <is>
          <t>Supply full source text: Archer data type not visible.</t>
        </is>
      </c>
      <c r="K21" s="3" t="inlineStr">
        <is>
          <t>SUB01</t>
        </is>
      </c>
      <c r="L21" s="3" t="inlineStr"/>
      <c r="M21" s="3" t="inlineStr"/>
    </row>
    <row r="22">
      <c r="A22" s="3" t="inlineStr">
        <is>
          <t>22</t>
        </is>
      </c>
      <c r="B22" s="3" t="inlineStr">
        <is>
          <t>THIS_RECORD</t>
        </is>
      </c>
      <c r="C22" s="3" t="inlineStr">
        <is>
          <t>Catalog</t>
        </is>
      </c>
      <c r="D22" s="3" t="inlineStr">
        <is>
          <t>catalog.group.group.@id</t>
        </is>
      </c>
      <c r="E22" s="3" t="inlineStr">
        <is>
          <t>Reference</t>
        </is>
      </c>
      <c r="F22" s="3" t="inlineStr">
        <is>
          <t>Self-reference to this record; overlaps with AUTHORITATIVE_SOURCES_THIS_RECORD - verify canonica[CLIPPED]</t>
        </is>
      </c>
      <c r="G22" s="3" t="inlineStr">
        <is>
          <t>Single</t>
        </is>
      </c>
      <c r="H22" s="3" t="inlineStr"/>
      <c r="I22" s="3" t="inlineStr">
        <is>
          <t>NEEDS SOURCE TEXT</t>
        </is>
      </c>
      <c r="J22" s="3" t="inlineStr">
        <is>
          <t>Supply full source text: Original Notes, Archer data type not visible.</t>
        </is>
      </c>
      <c r="K22" s="3" t="inlineStr">
        <is>
          <t>SUB01</t>
        </is>
      </c>
      <c r="L22" s="3" t="inlineStr"/>
      <c r="M22" s="3" t="inlineStr"/>
    </row>
    <row r="23">
      <c r="A23" s="3" t="inlineStr">
        <is>
          <t>23</t>
        </is>
      </c>
      <c r="B23" s="3" t="inlineStr">
        <is>
          <t>RELATED_SUB_SECTION_RECORDS__MANUAL_INPUT</t>
        </is>
      </c>
      <c r="C23" s="3" t="inlineStr">
        <is>
          <t>Catalog</t>
        </is>
      </c>
      <c r="D23" s="3" t="inlineStr">
        <is>
          <t>catalog.group.group.link[@rel='related']</t>
        </is>
      </c>
      <c r="E23" s="3" t="inlineStr">
        <is>
          <t>Reference</t>
        </is>
      </c>
      <c r="F23" s="3" t="inlineStr">
        <is>
          <t>Manually entered related sub-sections</t>
        </is>
      </c>
      <c r="G23" s="3" t="inlineStr">
        <is>
          <t>Multi (likely ref[CLIPPED]</t>
        </is>
      </c>
      <c r="H23" s="3" t="inlineStr"/>
      <c r="I23" s="3" t="inlineStr">
        <is>
          <t>NEEDS SOURCE TEXT</t>
        </is>
      </c>
      <c r="J23" s="3" t="inlineStr">
        <is>
          <t>Supply full source text: Cardinality, Archer data type not visible. Confirm exact underscore count before MANUAL_INPUT.</t>
        </is>
      </c>
      <c r="K23" s="3" t="inlineStr">
        <is>
          <t>SUB01</t>
        </is>
      </c>
      <c r="L23" s="3" t="inlineStr"/>
      <c r="M23" s="3" t="inlineStr"/>
    </row>
    <row r="24">
      <c r="A24" s="3" t="inlineStr">
        <is>
          <t>24</t>
        </is>
      </c>
      <c r="B24" s="3" t="inlineStr">
        <is>
          <t>RELATED_SUB_SECTION_RECORDS__MANUAL_INPUT_RELATED_RECORDS</t>
        </is>
      </c>
      <c r="C24" s="3" t="inlineStr">
        <is>
          <t>Catalog</t>
        </is>
      </c>
      <c r="D24" s="3" t="inlineStr">
        <is>
          <t>catalog.group.group.link[@rel='related']</t>
        </is>
      </c>
      <c r="E24" s="3" t="inlineStr">
        <is>
          <t>Reference</t>
        </is>
      </c>
      <c r="F24" s="3" t="inlineStr">
        <is>
          <t>Related records of the manual-input field</t>
        </is>
      </c>
      <c r="G24" s="3" t="inlineStr">
        <is>
          <t>Multi (likely ref[CLIPPED]</t>
        </is>
      </c>
      <c r="H24" s="3" t="inlineStr"/>
      <c r="I24" s="3" t="inlineStr">
        <is>
          <t>NEEDS SOURCE TEXT</t>
        </is>
      </c>
      <c r="J24" s="3" t="inlineStr">
        <is>
          <t>Supply full source text: Cardinality, Archer data type not visible. Confirm exact underscore count before MANUAL_INPUT.</t>
        </is>
      </c>
      <c r="K24" s="3" t="inlineStr">
        <is>
          <t>SUB01</t>
        </is>
      </c>
      <c r="L24" s="3" t="inlineStr"/>
      <c r="M24" s="3" t="inlineStr"/>
    </row>
    <row r="25">
      <c r="A25" s="3" t="inlineStr">
        <is>
          <t>25</t>
        </is>
      </c>
      <c r="B25" s="3" t="inlineStr">
        <is>
          <t>SUB_SECTION_MAPPING_STATUS</t>
        </is>
      </c>
      <c r="C25" s="3" t="inlineStr">
        <is>
          <t>Catalog - Group</t>
        </is>
      </c>
      <c r="D25" s="3" t="inlineStr">
        <is>
          <t>catalog.group.group.prop[@name='mapping-st[CLIPPED]</t>
        </is>
      </c>
      <c r="E25" s="3" t="inlineStr">
        <is>
          <t>Extension Property</t>
        </is>
      </c>
      <c r="F25" s="3" t="inlineStr">
        <is>
          <t>Status of sub-section-to-control mapping</t>
        </is>
      </c>
      <c r="G25" s="3" t="inlineStr">
        <is>
          <t>Single</t>
        </is>
      </c>
      <c r="H25" s="3" t="inlineStr"/>
      <c r="I25" s="3" t="inlineStr">
        <is>
          <t>NEEDS SOURCE TEXT</t>
        </is>
      </c>
      <c r="J25" s="3" t="inlineStr">
        <is>
          <t>Supply full source text: OSCAL element path, Archer data type not visible.</t>
        </is>
      </c>
      <c r="K25" s="3" t="inlineStr">
        <is>
          <t>SUB01</t>
        </is>
      </c>
      <c r="L25" s="3" t="inlineStr"/>
      <c r="M25" s="3" t="inlineStr"/>
    </row>
    <row r="26">
      <c r="A26" s="3" t="inlineStr">
        <is>
          <t>26</t>
        </is>
      </c>
      <c r="B26" s="3" t="inlineStr">
        <is>
          <t>CONTROL_STANDARDS</t>
        </is>
      </c>
      <c r="C26" s="3" t="inlineStr">
        <is>
          <t>Catalog</t>
        </is>
      </c>
      <c r="D26" s="3" t="inlineStr">
        <is>
          <t>catalog.group.group.control[@id]</t>
        </is>
      </c>
      <c r="E26" s="3" t="inlineStr">
        <is>
          <t>Reference</t>
        </is>
      </c>
      <c r="F26" s="3" t="inlineStr">
        <is>
          <t>Control standards within this sub-section</t>
        </is>
      </c>
      <c r="G26" s="3" t="inlineStr">
        <is>
          <t>Multi (likely ref[CLIPPED]</t>
        </is>
      </c>
      <c r="H26" s="3" t="inlineStr"/>
      <c r="I26" s="3" t="inlineStr">
        <is>
          <t>CORE TEXT CAPTURED</t>
        </is>
      </c>
      <c r="J26" s="3" t="inlineStr">
        <is>
          <t>Supply full source text: Cardinality, Archer data type not visible.</t>
        </is>
      </c>
      <c r="K26" s="3" t="inlineStr">
        <is>
          <t>SUB01</t>
        </is>
      </c>
      <c r="L26" s="3" t="inlineStr"/>
      <c r="M26" s="3" t="inlineStr"/>
    </row>
    <row r="27">
      <c r="A27" s="3" t="inlineStr">
        <is>
          <t>27</t>
        </is>
      </c>
      <c r="B27" s="3" t="inlineStr">
        <is>
          <t>CONTROL_STANDARDS_ATCS_CONTROLS</t>
        </is>
      </c>
      <c r="C27" s="3" t="inlineStr">
        <is>
          <t>Catalog</t>
        </is>
      </c>
      <c r="D27" s="3" t="inlineStr">
        <is>
          <t>catalog.group.group.control[@id].link[@rel='rel[CLIPPED]</t>
        </is>
      </c>
      <c r="E27" s="3" t="inlineStr">
        <is>
          <t>Reference</t>
        </is>
      </c>
      <c r="F27" s="3" t="inlineStr">
        <is>
          <t>ATCS Control standards linkage</t>
        </is>
      </c>
      <c r="G27" s="3" t="inlineStr">
        <is>
          <t>Multi (likely ref[CLIPPED]</t>
        </is>
      </c>
      <c r="H27" s="3" t="inlineStr"/>
      <c r="I27" s="3" t="inlineStr">
        <is>
          <t>NEEDS SOURCE TEXT</t>
        </is>
      </c>
      <c r="J27" s="3" t="inlineStr">
        <is>
          <t>Supply full source text: Cardinality, OSCAL element path, Archer data type not visible.</t>
        </is>
      </c>
      <c r="K27" s="3" t="inlineStr">
        <is>
          <t>SUB01</t>
        </is>
      </c>
      <c r="L27" s="3" t="inlineStr"/>
      <c r="M27" s="3" t="inlineStr"/>
    </row>
    <row r="28">
      <c r="A28" s="3" t="inlineStr">
        <is>
          <t>28</t>
        </is>
      </c>
      <c r="B28" s="3" t="inlineStr">
        <is>
          <t>MASTER_CONTROLS_AUTHORITATIVE_SOURCES</t>
        </is>
      </c>
      <c r="C28" s="3" t="inlineStr">
        <is>
          <t>Catalog</t>
        </is>
      </c>
      <c r="D28" s="3" t="inlineStr">
        <is>
          <t>catalog.control[@id].link[@rel='related']</t>
        </is>
      </c>
      <c r="E28" s="3" t="inlineStr">
        <is>
          <t>Reference</t>
        </is>
      </c>
      <c r="F28" s="3" t="inlineStr">
        <is>
          <t>Relationship to master control definitions</t>
        </is>
      </c>
      <c r="G28" s="3" t="inlineStr">
        <is>
          <t>Multi (likely ref[CLIPPED]</t>
        </is>
      </c>
      <c r="H28" s="3" t="inlineStr"/>
      <c r="I28" s="3" t="inlineStr">
        <is>
          <t>CORE TEXT CAPTURED</t>
        </is>
      </c>
      <c r="J28" s="3" t="inlineStr">
        <is>
          <t>Supply full source text: Cardinality, Archer data type not visible.</t>
        </is>
      </c>
      <c r="K28" s="3" t="inlineStr">
        <is>
          <t>SUB01</t>
        </is>
      </c>
      <c r="L28" s="3" t="inlineStr"/>
      <c r="M28" s="3" t="inlineStr"/>
    </row>
    <row r="29">
      <c r="A29" s="3" t="inlineStr">
        <is>
          <t>29</t>
        </is>
      </c>
      <c r="B29" s="3" t="inlineStr">
        <is>
          <t>NUMBER_OF_CONTROL_STANDARDS_SUB_SECTION_LEVEL</t>
        </is>
      </c>
      <c r="C29" s="3" t="inlineStr">
        <is>
          <t>Catalog - Group</t>
        </is>
      </c>
      <c r="D29" s="3" t="inlineStr">
        <is>
          <t>catalog.group.group.prop[@name='control-cou[CLIPPED]</t>
        </is>
      </c>
      <c r="E29" s="3" t="inlineStr">
        <is>
          <t>Extension Property</t>
        </is>
      </c>
      <c r="F29" s="3" t="inlineStr">
        <is>
          <t>Count of controls at sub-section level</t>
        </is>
      </c>
      <c r="G29" s="3" t="inlineStr">
        <is>
          <t>Single</t>
        </is>
      </c>
      <c r="H29" s="3" t="inlineStr"/>
      <c r="I29" s="3" t="inlineStr">
        <is>
          <t>NEEDS SOURCE TEXT</t>
        </is>
      </c>
      <c r="J29" s="3" t="inlineStr">
        <is>
          <t>Supply full source text: OSCAL element path, Archer data type not visible.</t>
        </is>
      </c>
      <c r="K29" s="3" t="inlineStr">
        <is>
          <t>SUB01</t>
        </is>
      </c>
      <c r="L29" s="3" t="inlineStr"/>
      <c r="M29" s="3" t="inlineStr"/>
    </row>
    <row r="30">
      <c r="A30" s="3" t="inlineStr">
        <is>
          <t>30</t>
        </is>
      </c>
      <c r="B30" s="3" t="inlineStr">
        <is>
          <t>CONTROL_PROCEDURES</t>
        </is>
      </c>
      <c r="C30" s="3" t="inlineStr">
        <is>
          <t>Catalog or Compo[CLIPPED]</t>
        </is>
      </c>
      <c r="D30" s="3" t="inlineStr">
        <is>
          <t>catalog.control[@id].part[@name='statement']</t>
        </is>
      </c>
      <c r="E30" s="3" t="inlineStr">
        <is>
          <t>Direct</t>
        </is>
      </c>
      <c r="F30" s="3" t="inlineStr">
        <is>
          <t>Procedures for implementing controls</t>
        </is>
      </c>
      <c r="G30" s="3" t="inlineStr">
        <is>
          <t>Single</t>
        </is>
      </c>
      <c r="H30" s="3" t="inlineStr"/>
      <c r="I30" s="3" t="inlineStr">
        <is>
          <t>NEEDS SOURCE TEXT</t>
        </is>
      </c>
      <c r="J30" s="3" t="inlineStr">
        <is>
          <t>Supply full source text: OSCAL model, Archer data type not visible.</t>
        </is>
      </c>
      <c r="K30" s="3" t="inlineStr">
        <is>
          <t>SUB01</t>
        </is>
      </c>
      <c r="L30" s="3" t="inlineStr"/>
      <c r="M30" s="3" t="inlineStr"/>
    </row>
    <row r="31">
      <c r="A31" s="3" t="inlineStr">
        <is>
          <t>31</t>
        </is>
      </c>
      <c r="B31" s="3" t="inlineStr">
        <is>
          <t>RELATED_CONTROL_PROCEDURES</t>
        </is>
      </c>
      <c r="C31" s="3" t="inlineStr">
        <is>
          <t>Catalog</t>
        </is>
      </c>
      <c r="D31" s="3" t="inlineStr">
        <is>
          <t>catalog.control[@id].link[@rel='related']</t>
        </is>
      </c>
      <c r="E31" s="3" t="inlineStr">
        <is>
          <t>Reference</t>
        </is>
      </c>
      <c r="F31" s="3" t="inlineStr">
        <is>
          <t>Cross-references to related procedures</t>
        </is>
      </c>
      <c r="G31" s="3" t="inlineStr">
        <is>
          <t>Multi (likely ref[CLIPPED]</t>
        </is>
      </c>
      <c r="H31" s="3" t="inlineStr"/>
      <c r="I31" s="3" t="inlineStr">
        <is>
          <t>CORE TEXT CAPTURED</t>
        </is>
      </c>
      <c r="J31" s="3" t="inlineStr">
        <is>
          <t>Supply full source text: Cardinality, Archer data type not visible.</t>
        </is>
      </c>
      <c r="K31" s="3" t="inlineStr">
        <is>
          <t>SUB01</t>
        </is>
      </c>
      <c r="L31" s="3" t="inlineStr"/>
      <c r="M31" s="3" t="inlineStr"/>
    </row>
    <row r="32">
      <c r="A32" s="3" t="inlineStr">
        <is>
          <t>32</t>
        </is>
      </c>
      <c r="B32" s="3" t="inlineStr">
        <is>
          <t>CONTROL_PROCEDURES_AUTHORITATIVE_SOURCES</t>
        </is>
      </c>
      <c r="C32" s="3" t="inlineStr">
        <is>
          <t>Component Defi[CLIPPED]</t>
        </is>
      </c>
      <c r="D32" s="3" t="inlineStr">
        <is>
          <t>component-definition.component.control-impl[CLIPPED]</t>
        </is>
      </c>
      <c r="E32" s="3" t="inlineStr">
        <is>
          <t>Reference</t>
        </is>
      </c>
      <c r="F32" s="3" t="inlineStr">
        <is>
          <t>Control procedures (auth-source scoped)</t>
        </is>
      </c>
      <c r="G32" s="3" t="inlineStr">
        <is>
          <t>Multi (likely ref[CLIPPED]</t>
        </is>
      </c>
      <c r="H32" s="3" t="inlineStr"/>
      <c r="I32" s="3" t="inlineStr">
        <is>
          <t>NEEDS SOURCE TEXT</t>
        </is>
      </c>
      <c r="J32" s="3" t="inlineStr">
        <is>
          <t>Supply full source text: Cardinality, OSCAL model, OSCAL element path, Archer data type not visible.</t>
        </is>
      </c>
      <c r="K32" s="3" t="inlineStr">
        <is>
          <t>SUB01</t>
        </is>
      </c>
      <c r="L32" s="3" t="inlineStr"/>
      <c r="M32" s="3" t="inlineStr"/>
    </row>
    <row r="33">
      <c r="A33" s="3" t="inlineStr">
        <is>
          <t>33</t>
        </is>
      </c>
      <c r="B33" s="3" t="inlineStr">
        <is>
          <t>CONTROL_PROCEDURES_SELECTED_AUTHORITATIVE_SOURCE__SUB_SECTI[CLIPPED]</t>
        </is>
      </c>
      <c r="C33" s="3" t="inlineStr">
        <is>
          <t>Component Defi[CLIPPED]</t>
        </is>
      </c>
      <c r="D33" s="3" t="inlineStr">
        <is>
          <t>component-definition.component.control-impl[CLIPPED]</t>
        </is>
      </c>
      <c r="E33" s="3" t="inlineStr">
        <is>
          <t>Reference</t>
        </is>
      </c>
      <c r="F33" s="3" t="inlineStr">
        <is>
          <t>Control procedures for selected sub-sections</t>
        </is>
      </c>
      <c r="G33" s="3" t="inlineStr">
        <is>
          <t>Multi (likely ref[CLIPPED]</t>
        </is>
      </c>
      <c r="H33" s="3" t="inlineStr"/>
      <c r="I33" s="3" t="inlineStr">
        <is>
          <t>NEEDS SOURCE TEXT</t>
        </is>
      </c>
      <c r="J33" s="3" t="inlineStr">
        <is>
          <t>Supply full source text: Archer field name, Cardinality, OSCAL model, OSCAL element path, Archer data type not visible. Confirm full Archer field name and underscore count before SUB_SECTION.</t>
        </is>
      </c>
      <c r="K33" s="3" t="inlineStr">
        <is>
          <t>SUB01</t>
        </is>
      </c>
      <c r="L33" s="3" t="inlineStr"/>
      <c r="M33" s="3" t="inlineStr"/>
    </row>
    <row r="34">
      <c r="A34" s="3" t="inlineStr">
        <is>
          <t>34</t>
        </is>
      </c>
      <c r="B34" s="3" t="inlineStr">
        <is>
          <t>DPF_REFERENCE</t>
        </is>
      </c>
      <c r="C34" s="3" t="inlineStr">
        <is>
          <t>Catalog</t>
        </is>
      </c>
      <c r="D34" s="3" t="inlineStr">
        <is>
          <t>catalog.group.group.link[@rel='reference']</t>
        </is>
      </c>
      <c r="E34" s="3" t="inlineStr">
        <is>
          <t>Reference</t>
        </is>
      </c>
      <c r="F34" s="3" t="inlineStr">
        <is>
          <t>Data Protection Framework reference</t>
        </is>
      </c>
      <c r="G34" s="3" t="inlineStr">
        <is>
          <t>Single</t>
        </is>
      </c>
      <c r="H34" s="3" t="inlineStr"/>
      <c r="I34" s="3" t="inlineStr">
        <is>
          <t>CORE TEXT CAPTURED</t>
        </is>
      </c>
      <c r="J34" s="3" t="inlineStr">
        <is>
          <t>Supply full source text: Archer data type not visible.</t>
        </is>
      </c>
      <c r="K34" s="3" t="inlineStr">
        <is>
          <t>SUB01</t>
        </is>
      </c>
      <c r="L34" s="3" t="inlineStr"/>
      <c r="M34" s="3" t="inlineStr"/>
    </row>
    <row r="35">
      <c r="A35" s="3" t="inlineStr">
        <is>
          <t>35</t>
        </is>
      </c>
      <c r="B35" s="3" t="inlineStr">
        <is>
          <t>COMPLIANCE_RATING</t>
        </is>
      </c>
      <c r="C35" s="3" t="inlineStr">
        <is>
          <t>Assessment Resu[CLIPPED]</t>
        </is>
      </c>
      <c r="D35" s="3" t="inlineStr">
        <is>
          <t>assessment-results.result.reviewed-controls.co[CLIPPED]</t>
        </is>
      </c>
      <c r="E35" s="3" t="inlineStr">
        <is>
          <t>Extension Property</t>
        </is>
      </c>
      <c r="F35" s="3" t="inlineStr">
        <is>
          <t>Overall compliance rating for the sub-section</t>
        </is>
      </c>
      <c r="G35" s="3" t="inlineStr">
        <is>
          <t>Single</t>
        </is>
      </c>
      <c r="H35" s="3" t="inlineStr"/>
      <c r="I35" s="3" t="inlineStr">
        <is>
          <t>NEEDS SOURCE TEXT</t>
        </is>
      </c>
      <c r="J35" s="3" t="inlineStr">
        <is>
          <t>Supply full source text: OSCAL model, OSCAL element path, Archer data type not visible.</t>
        </is>
      </c>
      <c r="K35" s="3" t="inlineStr">
        <is>
          <t>SUB01</t>
        </is>
      </c>
      <c r="L35" s="3" t="inlineStr"/>
      <c r="M35" s="3" t="inlineStr"/>
    </row>
    <row r="36">
      <c r="A36" s="3" t="inlineStr">
        <is>
          <t>36</t>
        </is>
      </c>
      <c r="B36" s="3" t="inlineStr">
        <is>
          <t>PCT_OF_NONCOMPLIANT_CONTROLS</t>
        </is>
      </c>
      <c r="C36" s="3" t="inlineStr">
        <is>
          <t>Assessment Resu[CLIPPED]</t>
        </is>
      </c>
      <c r="D36" s="3" t="inlineStr">
        <is>
          <t>assessment-results.result.prop[@name='nonco[CLIPPED]</t>
        </is>
      </c>
      <c r="E36" s="3" t="inlineStr">
        <is>
          <t>Extension Property</t>
        </is>
      </c>
      <c r="F36" s="3" t="inlineStr">
        <is>
          <t>Percentage of non-compliant controls</t>
        </is>
      </c>
      <c r="G36" s="3" t="inlineStr">
        <is>
          <t>Single</t>
        </is>
      </c>
      <c r="H36" s="3" t="inlineStr"/>
      <c r="I36" s="3" t="inlineStr">
        <is>
          <t>NEEDS SOURCE TEXT</t>
        </is>
      </c>
      <c r="J36" s="3" t="inlineStr">
        <is>
          <t>Supply full source text: OSCAL model, OSCAL element path, Archer data type not visible.</t>
        </is>
      </c>
      <c r="K36" s="3" t="inlineStr">
        <is>
          <t>SUB01</t>
        </is>
      </c>
      <c r="L36" s="3" t="inlineStr"/>
      <c r="M36" s="3" t="inlineStr"/>
    </row>
    <row r="37">
      <c r="A37" s="3" t="inlineStr">
        <is>
          <t>37</t>
        </is>
      </c>
      <c r="B37" s="3" t="inlineStr">
        <is>
          <t>COUNT_OF_CONTROLS</t>
        </is>
      </c>
      <c r="C37" s="3" t="inlineStr">
        <is>
          <t>Catalog - Group</t>
        </is>
      </c>
      <c r="D37" s="3" t="inlineStr">
        <is>
          <t>catalog.group.group.prop[@name='total-contro[CLIPPED]</t>
        </is>
      </c>
      <c r="E37" s="3" t="inlineStr">
        <is>
          <t>Extension Property</t>
        </is>
      </c>
      <c r="F37" s="3" t="inlineStr">
        <is>
          <t>Total number of controls in the sub-section</t>
        </is>
      </c>
      <c r="G37" s="3" t="inlineStr">
        <is>
          <t>Single</t>
        </is>
      </c>
      <c r="H37" s="3" t="inlineStr"/>
      <c r="I37" s="3" t="inlineStr">
        <is>
          <t>NEEDS SOURCE TEXT</t>
        </is>
      </c>
      <c r="J37" s="3" t="inlineStr">
        <is>
          <t>Supply full source text: OSCAL element path, Archer data type not visible.</t>
        </is>
      </c>
      <c r="K37" s="3" t="inlineStr">
        <is>
          <t>SUB01</t>
        </is>
      </c>
      <c r="L37" s="3" t="inlineStr"/>
      <c r="M37" s="3" t="inlineStr"/>
    </row>
    <row r="38">
      <c r="A38" s="3" t="inlineStr">
        <is>
          <t>38</t>
        </is>
      </c>
      <c r="B38" s="3" t="inlineStr">
        <is>
          <t>COUNT_OF_NONCOMPLIANT_CONTROLS</t>
        </is>
      </c>
      <c r="C38" s="3" t="inlineStr">
        <is>
          <t>Assessment Resu[CLIPPED]</t>
        </is>
      </c>
      <c r="D38" s="3" t="inlineStr">
        <is>
          <t>assessment-results.result.prop[@name='nonco[CLIPPED]</t>
        </is>
      </c>
      <c r="E38" s="3" t="inlineStr">
        <is>
          <t>Extension Property</t>
        </is>
      </c>
      <c r="F38" s="3" t="inlineStr">
        <is>
          <t>Number of non-compliant controls</t>
        </is>
      </c>
      <c r="G38" s="3" t="inlineStr">
        <is>
          <t>Single</t>
        </is>
      </c>
      <c r="H38" s="3" t="inlineStr"/>
      <c r="I38" s="3" t="inlineStr">
        <is>
          <t>NEEDS SOURCE TEXT</t>
        </is>
      </c>
      <c r="J38" s="3" t="inlineStr">
        <is>
          <t>Supply full source text: OSCAL model, OSCAL element path, Archer data type not visible.</t>
        </is>
      </c>
      <c r="K38" s="3" t="inlineStr">
        <is>
          <t>SUB01</t>
        </is>
      </c>
      <c r="L38" s="3" t="inlineStr"/>
      <c r="M38" s="3" t="inlineStr"/>
    </row>
    <row r="39">
      <c r="A39" s="3" t="inlineStr">
        <is>
          <t>39</t>
        </is>
      </c>
      <c r="B39" s="3" t="inlineStr">
        <is>
          <t>RELATED_TO_KEY_CONTROLS</t>
        </is>
      </c>
      <c r="C39" s="3" t="inlineStr">
        <is>
          <t>Catalog</t>
        </is>
      </c>
      <c r="D39" s="3" t="inlineStr">
        <is>
          <t>catalog.control[@id].prop[@name='key-control[CLIPPED]</t>
        </is>
      </c>
      <c r="E39" s="3" t="inlineStr">
        <is>
          <t>Extension Property</t>
        </is>
      </c>
      <c r="F39" s="3" t="inlineStr">
        <is>
          <t>Indicator of key/critical controls</t>
        </is>
      </c>
      <c r="G39" s="3" t="inlineStr">
        <is>
          <t>Single</t>
        </is>
      </c>
      <c r="H39" s="3" t="inlineStr"/>
      <c r="I39" s="3" t="inlineStr">
        <is>
          <t>NEEDS SOURCE TEXT</t>
        </is>
      </c>
      <c r="J39" s="3" t="inlineStr">
        <is>
          <t>Supply full source text: OSCAL element path, Archer data type not visible.</t>
        </is>
      </c>
      <c r="K39" s="3" t="inlineStr">
        <is>
          <t>SUB01</t>
        </is>
      </c>
      <c r="L39" s="3" t="inlineStr"/>
      <c r="M39" s="3" t="inlineStr"/>
    </row>
    <row r="40">
      <c r="A40" s="3" t="inlineStr">
        <is>
          <t>40</t>
        </is>
      </c>
      <c r="B40" s="3" t="inlineStr">
        <is>
          <t>DCMA_SCORE_VALUE</t>
        </is>
      </c>
      <c r="C40" s="3" t="inlineStr">
        <is>
          <t>Assessment Resu[CLIPPED]</t>
        </is>
      </c>
      <c r="D40" s="3" t="inlineStr">
        <is>
          <t>assessment-results.result.prop[@name='dcma[CLIPPED]</t>
        </is>
      </c>
      <c r="E40" s="3" t="inlineStr">
        <is>
          <t>Extension Property</t>
        </is>
      </c>
      <c r="F40" s="3" t="inlineStr">
        <is>
          <t>DCMA score value</t>
        </is>
      </c>
      <c r="G40" s="3" t="inlineStr">
        <is>
          <t>Single</t>
        </is>
      </c>
      <c r="H40" s="3" t="inlineStr"/>
      <c r="I40" s="3" t="inlineStr">
        <is>
          <t>NEEDS SOURCE TEXT</t>
        </is>
      </c>
      <c r="J40" s="3" t="inlineStr">
        <is>
          <t>Supply full source text: OSCAL model, OSCAL element path, Archer data type not visible.</t>
        </is>
      </c>
      <c r="K40" s="3" t="inlineStr">
        <is>
          <t>SUB01</t>
        </is>
      </c>
      <c r="L40" s="3" t="inlineStr"/>
      <c r="M40" s="3" t="inlineStr"/>
    </row>
    <row r="41">
      <c r="A41" s="3" t="inlineStr">
        <is>
          <t>41</t>
        </is>
      </c>
      <c r="B41" s="3" t="inlineStr">
        <is>
          <t>DCMA_SCORE_COMMENT</t>
        </is>
      </c>
      <c r="C41" s="3" t="inlineStr">
        <is>
          <t>Assessment Resu[CLIPPED]</t>
        </is>
      </c>
      <c r="D41" s="3" t="inlineStr">
        <is>
          <t>assessment-results.result.prop[@name='dcma[CLIPPED]</t>
        </is>
      </c>
      <c r="E41" s="3" t="inlineStr">
        <is>
          <t>Extension Property</t>
        </is>
      </c>
      <c r="F41" s="3" t="inlineStr">
        <is>
          <t>DCMA score comment</t>
        </is>
      </c>
      <c r="G41" s="3" t="inlineStr">
        <is>
          <t>Single</t>
        </is>
      </c>
      <c r="H41" s="3" t="inlineStr"/>
      <c r="I41" s="3" t="inlineStr">
        <is>
          <t>NEEDS SOURCE TEXT</t>
        </is>
      </c>
      <c r="J41" s="3" t="inlineStr">
        <is>
          <t>Supply full source text: OSCAL model, OSCAL element path, Archer data type not visible.</t>
        </is>
      </c>
      <c r="K41" s="3" t="inlineStr">
        <is>
          <t>SUB01</t>
        </is>
      </c>
      <c r="L41" s="3" t="inlineStr"/>
      <c r="M41" s="3" t="inlineStr"/>
    </row>
    <row r="42">
      <c r="A42" s="3" t="inlineStr">
        <is>
          <t>42</t>
        </is>
      </c>
      <c r="B42" s="3" t="inlineStr">
        <is>
          <t>FINDINGS</t>
        </is>
      </c>
      <c r="C42" s="3" t="inlineStr">
        <is>
          <t>Assessment Resu[CLIPPED]</t>
        </is>
      </c>
      <c r="D42" s="3" t="inlineStr">
        <is>
          <t>assessment-results.result.finding[@uuid]</t>
        </is>
      </c>
      <c r="E42" s="3" t="inlineStr">
        <is>
          <t>Reference</t>
        </is>
      </c>
      <c r="F42" s="3" t="inlineStr">
        <is>
          <t>Assessment findings related to this sub-section</t>
        </is>
      </c>
      <c r="G42" s="3" t="inlineStr">
        <is>
          <t>Multi (likely ref[CLIPPED]</t>
        </is>
      </c>
      <c r="H42" s="3" t="inlineStr"/>
      <c r="I42" s="3" t="inlineStr">
        <is>
          <t>NEEDS SOURCE TEXT</t>
        </is>
      </c>
      <c r="J42" s="3" t="inlineStr">
        <is>
          <t>Supply full source text: Cardinality, OSCAL model, Archer data type not visible.</t>
        </is>
      </c>
      <c r="K42" s="3" t="inlineStr">
        <is>
          <t>SUB01</t>
        </is>
      </c>
      <c r="L42" s="3" t="inlineStr"/>
      <c r="M42" s="3" t="inlineStr"/>
    </row>
    <row r="43">
      <c r="A43" s="3" t="inlineStr">
        <is>
          <t>43</t>
        </is>
      </c>
      <c r="B43" s="3" t="inlineStr">
        <is>
          <t>CONTROL_TESTING_RESULTS_FAILED_EXTERNAL_CONTROL_REQUIREMENT</t>
        </is>
      </c>
      <c r="C43" s="3" t="inlineStr">
        <is>
          <t>Assessment Resu[CLIPPED]</t>
        </is>
      </c>
      <c r="D43" s="3" t="inlineStr">
        <is>
          <t>assessment-results.result.finding.collected.pro[CLIPPED]</t>
        </is>
      </c>
      <c r="E43" s="3" t="inlineStr">
        <is>
          <t>Extension Property</t>
        </is>
      </c>
      <c r="F43" s="3" t="inlineStr">
        <is>
          <t>Failed control testing results</t>
        </is>
      </c>
      <c r="G43" s="3" t="inlineStr">
        <is>
          <t>Multi (likely ref[CLIPPED]</t>
        </is>
      </c>
      <c r="H43" s="3" t="inlineStr"/>
      <c r="I43" s="3" t="inlineStr">
        <is>
          <t>NEEDS SOURCE TEXT</t>
        </is>
      </c>
      <c r="J43" s="3" t="inlineStr">
        <is>
          <t>Supply full source text: Cardinality, OSCAL model, OSCAL element path, Archer data type not visible.</t>
        </is>
      </c>
      <c r="K43" s="3" t="inlineStr">
        <is>
          <t>SUB01</t>
        </is>
      </c>
      <c r="L43" s="3" t="inlineStr"/>
      <c r="M43" s="3" t="inlineStr"/>
    </row>
    <row r="44">
      <c r="A44" s="3" t="inlineStr">
        <is>
          <t>44</t>
        </is>
      </c>
      <c r="B44" s="3" t="inlineStr">
        <is>
          <t>DEVIATIONS_AUTHORITATIVE_SOURCES</t>
        </is>
      </c>
      <c r="C44" s="3" t="inlineStr">
        <is>
          <t>Assessment Resu[CLIPPED]</t>
        </is>
      </c>
      <c r="D44" s="3" t="inlineStr">
        <is>
          <t>assessment-results.result.finding[@uuid].prop[CLIPPED]</t>
        </is>
      </c>
      <c r="E44" s="3" t="inlineStr">
        <is>
          <t>Extension Property</t>
        </is>
      </c>
      <c r="F44" s="3" t="inlineStr">
        <is>
          <t>Documented deviations from standards</t>
        </is>
      </c>
      <c r="G44" s="3" t="inlineStr">
        <is>
          <t>Multi (likely ref[CLIPPED]</t>
        </is>
      </c>
      <c r="H44" s="3" t="inlineStr"/>
      <c r="I44" s="3" t="inlineStr">
        <is>
          <t>NEEDS SOURCE TEXT</t>
        </is>
      </c>
      <c r="J44" s="3" t="inlineStr">
        <is>
          <t>Supply full source text: Cardinality, OSCAL model, OSCAL element path, Archer data type not visible.</t>
        </is>
      </c>
      <c r="K44" s="3" t="inlineStr">
        <is>
          <t>SUB01</t>
        </is>
      </c>
      <c r="L44" s="3" t="inlineStr"/>
      <c r="M44" s="3" t="inlineStr"/>
    </row>
    <row r="45">
      <c r="A45" s="3" t="inlineStr">
        <is>
          <t>45</t>
        </is>
      </c>
      <c r="B45" s="3" t="inlineStr">
        <is>
          <t>DEVIATIONS_AUTHORITATIVE_SOURCES_LINKED_TO_CONTROL_STANDARDS</t>
        </is>
      </c>
      <c r="C45" s="3" t="inlineStr">
        <is>
          <t>Assessment Resu[CLIPPED]</t>
        </is>
      </c>
      <c r="D45" s="3" t="inlineStr">
        <is>
          <t>assessment-results.result.finding.related-obser[CLIPPED]</t>
        </is>
      </c>
      <c r="E45" s="3" t="inlineStr">
        <is>
          <t>Reference</t>
        </is>
      </c>
      <c r="F45" s="3" t="inlineStr">
        <is>
          <t>Deviations linked to specific control standards (version 2)</t>
        </is>
      </c>
      <c r="G45" s="3" t="inlineStr">
        <is>
          <t>Multi (likely ref[CLIPPED]</t>
        </is>
      </c>
      <c r="H45" s="3" t="inlineStr"/>
      <c r="I45" s="3" t="inlineStr">
        <is>
          <t>NEEDS SOURCE TEXT</t>
        </is>
      </c>
      <c r="J45" s="3" t="inlineStr">
        <is>
          <t>Supply full source text: Cardinality, OSCAL model, OSCAL element path, Archer data type not visible.</t>
        </is>
      </c>
      <c r="K45" s="3" t="inlineStr">
        <is>
          <t>SUB01</t>
        </is>
      </c>
      <c r="L45" s="3" t="inlineStr"/>
      <c r="M45" s="3" t="inlineStr"/>
    </row>
    <row r="46">
      <c r="A46" s="3" t="inlineStr">
        <is>
          <t>46</t>
        </is>
      </c>
      <c r="B46" s="3" t="inlineStr">
        <is>
          <t>POLICY_LEVEL_3</t>
        </is>
      </c>
      <c r="C46" s="3" t="inlineStr">
        <is>
          <t>Component Defi[CLIPPED]</t>
        </is>
      </c>
      <c r="D46" s="3" t="inlineStr">
        <is>
          <t>component-definition.component.prop[@name[CLIPPED]</t>
        </is>
      </c>
      <c r="E46" s="3" t="inlineStr">
        <is>
          <t>Extension Property</t>
        </is>
      </c>
      <c r="F46" s="3" t="inlineStr">
        <is>
          <t>Hierarchical policy level</t>
        </is>
      </c>
      <c r="G46" s="3" t="inlineStr">
        <is>
          <t>Single</t>
        </is>
      </c>
      <c r="H46" s="3" t="inlineStr"/>
      <c r="I46" s="3" t="inlineStr">
        <is>
          <t>NEEDS SOURCE TEXT</t>
        </is>
      </c>
      <c r="J46" s="3" t="inlineStr">
        <is>
          <t>Supply full source text: OSCAL model, OSCAL element path, Archer data type not visible.</t>
        </is>
      </c>
      <c r="K46" s="3" t="inlineStr">
        <is>
          <t>SUB01</t>
        </is>
      </c>
      <c r="L46" s="3" t="inlineStr"/>
      <c r="M46" s="3" t="inlineStr"/>
    </row>
    <row r="47">
      <c r="A47" s="3" t="inlineStr">
        <is>
          <t>47</t>
        </is>
      </c>
      <c r="B47" s="3" t="inlineStr">
        <is>
          <t>NUMBER_OF_POLICIES_SUB_SECTION_LEVEL</t>
        </is>
      </c>
      <c r="C47" s="3" t="inlineStr">
        <is>
          <t>Component Defi[CLIPPED]</t>
        </is>
      </c>
      <c r="D47" s="3" t="inlineStr">
        <is>
          <t>component-definition.component.prop[@name[CLIPPED]</t>
        </is>
      </c>
      <c r="E47" s="3" t="inlineStr">
        <is>
          <t>Extension Property</t>
        </is>
      </c>
      <c r="F47" s="3" t="inlineStr">
        <is>
          <t>Count of policies at sub-section level</t>
        </is>
      </c>
      <c r="G47" s="3" t="inlineStr">
        <is>
          <t>Single</t>
        </is>
      </c>
      <c r="H47" s="3" t="inlineStr"/>
      <c r="I47" s="3" t="inlineStr">
        <is>
          <t>NEEDS SOURCE TEXT</t>
        </is>
      </c>
      <c r="J47" s="3" t="inlineStr">
        <is>
          <t>Supply full source text: OSCAL model, OSCAL element path, Archer data type not visible.</t>
        </is>
      </c>
      <c r="K47" s="3" t="inlineStr">
        <is>
          <t>SUB01</t>
        </is>
      </c>
      <c r="L47" s="3" t="inlineStr"/>
      <c r="M47" s="3" t="inlineStr"/>
    </row>
    <row r="48">
      <c r="A48" s="3" t="inlineStr">
        <is>
          <t>48</t>
        </is>
      </c>
      <c r="B48" s="3" t="inlineStr">
        <is>
          <t>LINKED_TO_POLICY_SUB_SECTION_LEVEL</t>
        </is>
      </c>
      <c r="C48" s="3" t="inlineStr">
        <is>
          <t>Component Defi[CLIPPED]</t>
        </is>
      </c>
      <c r="D48" s="3" t="inlineStr">
        <is>
          <t>component-definition.component.link[@rel='su[CLIPPED]</t>
        </is>
      </c>
      <c r="E48" s="3" t="inlineStr">
        <is>
          <t>Reference</t>
        </is>
      </c>
      <c r="F48" s="3" t="inlineStr">
        <is>
          <t>Link to sub-section-level policies</t>
        </is>
      </c>
      <c r="G48" s="3" t="inlineStr">
        <is>
          <t>Multi (likely ref[CLIPPED]</t>
        </is>
      </c>
      <c r="H48" s="3" t="inlineStr"/>
      <c r="I48" s="3" t="inlineStr">
        <is>
          <t>NEEDS SOURCE TEXT</t>
        </is>
      </c>
      <c r="J48" s="3" t="inlineStr">
        <is>
          <t>Supply full source text: Cardinality, OSCAL model, OSCAL element path, Archer data type not visible.</t>
        </is>
      </c>
      <c r="K48" s="3" t="inlineStr">
        <is>
          <t>SUB01</t>
        </is>
      </c>
      <c r="L48" s="3" t="inlineStr"/>
      <c r="M48" s="3" t="inlineStr"/>
    </row>
    <row r="49">
      <c r="A49" s="3" t="inlineStr">
        <is>
          <t>49</t>
        </is>
      </c>
      <c r="B49" s="3" t="inlineStr">
        <is>
          <t>POLICIES_NEW_AUTH_SOURCE_CALC_CROSSREF</t>
        </is>
      </c>
      <c r="C49" s="3" t="inlineStr">
        <is>
          <t>Component Defi[CLIPPED]</t>
        </is>
      </c>
      <c r="D49" s="3" t="inlineStr">
        <is>
          <t>component-definition.component.link[@rel='po[CLIPPED]</t>
        </is>
      </c>
      <c r="E49" s="3" t="inlineStr">
        <is>
          <t>Reference</t>
        </is>
      </c>
      <c r="F49" s="3" t="inlineStr">
        <is>
          <t>Calculated policy cross-reference</t>
        </is>
      </c>
      <c r="G49" s="3" t="inlineStr">
        <is>
          <t>Multi (likely ref[CLIPPED]</t>
        </is>
      </c>
      <c r="H49" s="3" t="inlineStr"/>
      <c r="I49" s="3" t="inlineStr">
        <is>
          <t>NEEDS SOURCE TEXT</t>
        </is>
      </c>
      <c r="J49" s="3" t="inlineStr">
        <is>
          <t>Supply full source text: Cardinality, OSCAL model, OSCAL element path, Archer data type not visible.</t>
        </is>
      </c>
      <c r="K49" s="3" t="inlineStr">
        <is>
          <t>SUB01 + SUB02</t>
        </is>
      </c>
      <c r="L49" s="3" t="inlineStr"/>
      <c r="M49" s="3" t="inlineStr"/>
    </row>
    <row r="50">
      <c r="A50" s="3" t="inlineStr">
        <is>
          <t>50</t>
        </is>
      </c>
      <c r="B50" s="3" t="inlineStr">
        <is>
          <t>ENGAGEMENT_SCOPE_IN_CONTROL_SUB_SECTION</t>
        </is>
      </c>
      <c r="C50" s="3" t="inlineStr">
        <is>
          <t>Assessment Plan</t>
        </is>
      </c>
      <c r="D50" s="3" t="inlineStr">
        <is>
          <t>assessment-plan.local-definitions.activity.prop[CLIPPED]</t>
        </is>
      </c>
      <c r="E50" s="3" t="inlineStr">
        <is>
          <t>Extension Property</t>
        </is>
      </c>
      <c r="F50" s="3" t="inlineStr">
        <is>
          <t>Scope of compliance engagement for the sub-section</t>
        </is>
      </c>
      <c r="G50" s="3" t="inlineStr">
        <is>
          <t>Single</t>
        </is>
      </c>
      <c r="H50" s="3" t="inlineStr"/>
      <c r="I50" s="3" t="inlineStr">
        <is>
          <t>NEEDS SOURCE TEXT</t>
        </is>
      </c>
      <c r="J50" s="3" t="inlineStr">
        <is>
          <t>Supply full source text: OSCAL element path, Archer data type not visible.</t>
        </is>
      </c>
      <c r="K50" s="3" t="inlineStr">
        <is>
          <t>SUB01 + SUB02</t>
        </is>
      </c>
      <c r="L50" s="3" t="inlineStr"/>
      <c r="M50" s="3" t="inlineStr"/>
    </row>
    <row r="51">
      <c r="A51" s="3" t="inlineStr">
        <is>
          <t>51</t>
        </is>
      </c>
      <c r="B51" s="3" t="inlineStr">
        <is>
          <t>COMPLIANCE_ENGAGEMENTS_SCOPE_PROCEDURES_FROM_SELECTED_AU[CLIPPED]</t>
        </is>
      </c>
      <c r="C51" s="3" t="inlineStr">
        <is>
          <t>Assessment Plan</t>
        </is>
      </c>
      <c r="D51" s="3" t="inlineStr">
        <is>
          <t>assessment-plan.local-definitions.activity.step</t>
        </is>
      </c>
      <c r="E51" s="3" t="inlineStr">
        <is>
          <t>Direct</t>
        </is>
      </c>
      <c r="F51" s="3" t="inlineStr">
        <is>
          <t>Procedures for compliance engagements</t>
        </is>
      </c>
      <c r="G51" s="3" t="inlineStr">
        <is>
          <t>Single</t>
        </is>
      </c>
      <c r="H51" s="3" t="inlineStr"/>
      <c r="I51" s="3" t="inlineStr">
        <is>
          <t>NEEDS SOURCE TEXT</t>
        </is>
      </c>
      <c r="J51" s="3" t="inlineStr">
        <is>
          <t>Supply full source text: Archer field name, Archer data type not visible.</t>
        </is>
      </c>
      <c r="K51" s="3" t="inlineStr">
        <is>
          <t>SUB01 + SUB02</t>
        </is>
      </c>
      <c r="L51" s="3" t="inlineStr"/>
      <c r="M51" s="3" t="inlineStr"/>
    </row>
    <row r="52">
      <c r="A52" s="3" t="inlineStr">
        <is>
          <t>52</t>
        </is>
      </c>
      <c r="B52" s="3" t="inlineStr">
        <is>
          <t>QUESTION_LIBRARY</t>
        </is>
      </c>
      <c r="C52" s="3" t="inlineStr">
        <is>
          <t>Assessment Plan</t>
        </is>
      </c>
      <c r="D52" s="3" t="inlineStr">
        <is>
          <t>assessment-plan.local-definitions.activity.prop[CLIPPED]</t>
        </is>
      </c>
      <c r="E52" s="3" t="inlineStr">
        <is>
          <t>Extension Property</t>
        </is>
      </c>
      <c r="F52" s="3" t="inlineStr">
        <is>
          <t>Assessment questionnaire references</t>
        </is>
      </c>
      <c r="G52" s="3" t="inlineStr">
        <is>
          <t>Multi (likely ref[CLIPPED]</t>
        </is>
      </c>
      <c r="H52" s="3" t="inlineStr"/>
      <c r="I52" s="3" t="inlineStr">
        <is>
          <t>NEEDS SOURCE TEXT</t>
        </is>
      </c>
      <c r="J52" s="3" t="inlineStr">
        <is>
          <t>Supply full source text: Cardinality, OSCAL element path, Archer data type not visible.</t>
        </is>
      </c>
      <c r="K52" s="3" t="inlineStr">
        <is>
          <t>SUB01 + SUB02</t>
        </is>
      </c>
      <c r="L52" s="3" t="inlineStr"/>
      <c r="M52" s="3" t="inlineStr"/>
    </row>
    <row r="53">
      <c r="A53" s="3" t="inlineStr">
        <is>
          <t>53</t>
        </is>
      </c>
      <c r="B53" s="3" t="inlineStr">
        <is>
          <t>EVIDENCE_REPOSITORY</t>
        </is>
      </c>
      <c r="C53" s="3" t="inlineStr">
        <is>
          <t>Assessment Resu[CLIPPED]</t>
        </is>
      </c>
      <c r="D53" s="3" t="inlineStr">
        <is>
          <t>assessment-results.result.finding.relevant-evid[CLIPPED]</t>
        </is>
      </c>
      <c r="E53" s="3" t="inlineStr">
        <is>
          <t>Direct</t>
        </is>
      </c>
      <c r="F53" s="3" t="inlineStr">
        <is>
          <t>Link to evidence repository</t>
        </is>
      </c>
      <c r="G53" s="3" t="inlineStr">
        <is>
          <t>Single</t>
        </is>
      </c>
      <c r="H53" s="3" t="inlineStr"/>
      <c r="I53" s="3" t="inlineStr">
        <is>
          <t>NEEDS SOURCE TEXT</t>
        </is>
      </c>
      <c r="J53" s="3" t="inlineStr">
        <is>
          <t>Supply full source text: OSCAL model, OSCAL element path, Archer data type not visible.</t>
        </is>
      </c>
      <c r="K53" s="3" t="inlineStr">
        <is>
          <t>SUB01 + SUB02</t>
        </is>
      </c>
      <c r="L53" s="3" t="inlineStr"/>
      <c r="M53" s="3" t="inlineStr"/>
    </row>
    <row r="54">
      <c r="A54" s="3" t="inlineStr">
        <is>
          <t>54</t>
        </is>
      </c>
      <c r="B54" s="3" t="inlineStr">
        <is>
          <t>EVIDENCE_REPOSITORY_NIST_SUB_SECTIONS</t>
        </is>
      </c>
      <c r="C54" s="3" t="inlineStr">
        <is>
          <t>Assessment Resu[CLIPPED]</t>
        </is>
      </c>
      <c r="D54" s="3" t="inlineStr">
        <is>
          <t>assessment-results.result.finding.relevant-evid[CLIPPED]</t>
        </is>
      </c>
      <c r="E54" s="3" t="inlineStr">
        <is>
          <t>Reference</t>
        </is>
      </c>
      <c r="F54" s="3" t="inlineStr">
        <is>
          <t>NIST sub-section evidence</t>
        </is>
      </c>
      <c r="G54" s="3" t="inlineStr">
        <is>
          <t>Multi (likely ref[CLIPPED]</t>
        </is>
      </c>
      <c r="H54" s="3" t="inlineStr"/>
      <c r="I54" s="3" t="inlineStr">
        <is>
          <t>NEEDS SOURCE TEXT</t>
        </is>
      </c>
      <c r="J54" s="3" t="inlineStr">
        <is>
          <t>Supply full source text: Cardinality, OSCAL model, OSCAL element path, Archer data type not visible.</t>
        </is>
      </c>
      <c r="K54" s="3" t="inlineStr">
        <is>
          <t>SUB01 + SUB02</t>
        </is>
      </c>
      <c r="L54" s="3" t="inlineStr"/>
      <c r="M54" s="3" t="inlineStr"/>
    </row>
    <row r="55">
      <c r="A55" s="3" t="inlineStr">
        <is>
          <t>55</t>
        </is>
      </c>
      <c r="B55" s="3" t="inlineStr">
        <is>
          <t>EVIDENCE_REPOSITORY_AUTHORITATIVE_SOURCE_SUBSECTION_INPUT</t>
        </is>
      </c>
      <c r="C55" s="3" t="inlineStr">
        <is>
          <t>Assessment Resu[CLIPPED]</t>
        </is>
      </c>
      <c r="D55" s="3" t="inlineStr">
        <is>
          <t>assessment-results.result.finding.relevant-evid[CLIPPED]</t>
        </is>
      </c>
      <c r="E55" s="3" t="inlineStr">
        <is>
          <t>Direct</t>
        </is>
      </c>
      <c r="F55" s="3" t="inlineStr">
        <is>
          <t>Sub-section-scoped evidence repository input</t>
        </is>
      </c>
      <c r="G55" s="3" t="inlineStr">
        <is>
          <t>Single</t>
        </is>
      </c>
      <c r="H55" s="3" t="inlineStr"/>
      <c r="I55" s="3" t="inlineStr">
        <is>
          <t>NEEDS SOURCE TEXT</t>
        </is>
      </c>
      <c r="J55" s="3" t="inlineStr">
        <is>
          <t>Supply full source text: OSCAL model, OSCAL element path, Archer data type not visible.</t>
        </is>
      </c>
      <c r="K55" s="3" t="inlineStr">
        <is>
          <t>SUB01 + SUB02</t>
        </is>
      </c>
      <c r="L55" s="3" t="inlineStr"/>
      <c r="M55" s="3" t="inlineStr"/>
    </row>
    <row r="56">
      <c r="A56" s="3" t="inlineStr">
        <is>
          <t>56</t>
        </is>
      </c>
      <c r="B56" s="3" t="inlineStr">
        <is>
          <t>EVIDENCE_REPOSITORY_RELATED_AUTHORITATIVE_SOURCES</t>
        </is>
      </c>
      <c r="C56" s="3" t="inlineStr">
        <is>
          <t>Assessment Resu[CLIPPED]</t>
        </is>
      </c>
      <c r="D56" s="3" t="inlineStr">
        <is>
          <t>assessment-results.result.finding.relevant-evid[CLIPPED]</t>
        </is>
      </c>
      <c r="E56" s="3" t="inlineStr">
        <is>
          <t>Reference</t>
        </is>
      </c>
      <c r="F56" s="3" t="inlineStr">
        <is>
          <t>Related authoritative-source evidence</t>
        </is>
      </c>
      <c r="G56" s="3" t="inlineStr">
        <is>
          <t>Multi (likely ref[CLIPPED]</t>
        </is>
      </c>
      <c r="H56" s="3" t="inlineStr"/>
      <c r="I56" s="3" t="inlineStr">
        <is>
          <t>NEEDS SOURCE TEXT</t>
        </is>
      </c>
      <c r="J56" s="3" t="inlineStr">
        <is>
          <t>Supply full source text: Cardinality, OSCAL model, OSCAL element path, Archer data type not visible.</t>
        </is>
      </c>
      <c r="K56" s="3" t="inlineStr">
        <is>
          <t>SUB01 + SUB02</t>
        </is>
      </c>
      <c r="L56" s="3" t="inlineStr"/>
      <c r="M56" s="3" t="inlineStr"/>
    </row>
    <row r="57">
      <c r="A57" s="3" t="inlineStr">
        <is>
          <t>57</t>
        </is>
      </c>
      <c r="B57" s="3" t="inlineStr">
        <is>
          <t>EVIDENCE_REPOSITORY_NEW_SUB_SECTION_SELECTOR</t>
        </is>
      </c>
      <c r="C57" s="3" t="inlineStr">
        <is>
          <t>Assessment Resu[CLIPPED]</t>
        </is>
      </c>
      <c r="D57" s="3" t="inlineStr">
        <is>
          <t>assessment-results.result.finding.relevant-evid[CLIPPED]</t>
        </is>
      </c>
      <c r="E57" s="3" t="inlineStr">
        <is>
          <t>Reference</t>
        </is>
      </c>
      <c r="F57" s="3" t="inlineStr">
        <is>
          <t>New sub-section evidence selector</t>
        </is>
      </c>
      <c r="G57" s="3" t="inlineStr">
        <is>
          <t>Multi (likely ref[CLIPPED]</t>
        </is>
      </c>
      <c r="H57" s="3" t="inlineStr"/>
      <c r="I57" s="3" t="inlineStr">
        <is>
          <t>NEEDS SOURCE TEXT</t>
        </is>
      </c>
      <c r="J57" s="3" t="inlineStr">
        <is>
          <t>Supply full source text: Cardinality, OSCAL model, OSCAL element path, Archer data type not visible.</t>
        </is>
      </c>
      <c r="K57" s="3" t="inlineStr">
        <is>
          <t>SUB02</t>
        </is>
      </c>
      <c r="L57" s="3" t="inlineStr"/>
      <c r="M57" s="3" t="inlineStr"/>
    </row>
    <row r="58">
      <c r="A58" s="3" t="inlineStr">
        <is>
          <t>58</t>
        </is>
      </c>
      <c r="B58" s="3" t="inlineStr">
        <is>
          <t>EVIDENCE_REPOSITORY_SELECTED_AUTHORITATIVE_SOURCE_SUB_SECTION[CLIPPED]</t>
        </is>
      </c>
      <c r="C58" s="3" t="inlineStr">
        <is>
          <t>Assessment Resu[CLIPPED]</t>
        </is>
      </c>
      <c r="D58" s="3" t="inlineStr">
        <is>
          <t>assessment-results.result.finding.relevant-evid[CLIPPED]</t>
        </is>
      </c>
      <c r="E58" s="3" t="inlineStr">
        <is>
          <t>Reference</t>
        </is>
      </c>
      <c r="F58" s="3" t="inlineStr">
        <is>
          <t>Evidence for selected authoritative-source sub-sections</t>
        </is>
      </c>
      <c r="G58" s="3" t="inlineStr">
        <is>
          <t>Multi (likely ref[CLIPPED]</t>
        </is>
      </c>
      <c r="H58" s="3" t="inlineStr"/>
      <c r="I58" s="3" t="inlineStr">
        <is>
          <t>NEEDS SOURCE TEXT</t>
        </is>
      </c>
      <c r="J58" s="3" t="inlineStr">
        <is>
          <t>Supply full source text: Archer field name, Cardinality, OSCAL model, OSCAL element path, Archer data type not visible.</t>
        </is>
      </c>
      <c r="K58" s="3" t="inlineStr">
        <is>
          <t>SUB02</t>
        </is>
      </c>
      <c r="L58" s="3" t="inlineStr"/>
      <c r="M58" s="3" t="inlineStr"/>
    </row>
    <row r="59">
      <c r="A59" s="3" t="inlineStr">
        <is>
          <t>59</t>
        </is>
      </c>
      <c r="B59" s="3" t="inlineStr">
        <is>
          <t>EVIDENCE_REPOSITORY_RELATED_AUTHORITATIVE_SOURCE_SUB_SECTIONS[CLIPPED]</t>
        </is>
      </c>
      <c r="C59" s="3" t="inlineStr">
        <is>
          <t>Assessment Resu[CLIPPED]</t>
        </is>
      </c>
      <c r="D59" s="3" t="inlineStr">
        <is>
          <t>assessment-results.result.finding.relevant-evid[CLIPPED]</t>
        </is>
      </c>
      <c r="E59" s="3" t="inlineStr">
        <is>
          <t>Reference</t>
        </is>
      </c>
      <c r="F59" s="3" t="inlineStr">
        <is>
          <t>Evidence for related authoritative-source sub-sections</t>
        </is>
      </c>
      <c r="G59" s="3" t="inlineStr">
        <is>
          <t>Multi (likely ref[CLIPPED]</t>
        </is>
      </c>
      <c r="H59" s="3" t="inlineStr"/>
      <c r="I59" s="3" t="inlineStr">
        <is>
          <t>NEEDS SOURCE TEXT</t>
        </is>
      </c>
      <c r="J59" s="3" t="inlineStr">
        <is>
          <t>Supply full source text: Archer field name, Cardinality, OSCAL model, OSCAL element path, Archer data type not visible.</t>
        </is>
      </c>
      <c r="K59" s="3" t="inlineStr">
        <is>
          <t>SUB02</t>
        </is>
      </c>
      <c r="L59" s="3" t="inlineStr"/>
      <c r="M59" s="3" t="inlineStr"/>
    </row>
    <row r="60">
      <c r="A60" s="3" t="inlineStr">
        <is>
          <t>60</t>
        </is>
      </c>
      <c r="B60" s="3" t="inlineStr">
        <is>
          <t>ATTACHMENTS</t>
        </is>
      </c>
      <c r="C60" s="3" t="inlineStr">
        <is>
          <t>Catalog - Back M[CLIPPED]</t>
        </is>
      </c>
      <c r="D60" s="3" t="inlineStr">
        <is>
          <t>catalog.back-matter.resource[@uuid].base64</t>
        </is>
      </c>
      <c r="E60" s="3" t="inlineStr">
        <is>
          <t>Direct</t>
        </is>
      </c>
      <c r="F60" s="3" t="inlineStr">
        <is>
          <t>Binary attachments as base64</t>
        </is>
      </c>
      <c r="G60" s="3" t="inlineStr">
        <is>
          <t>Single</t>
        </is>
      </c>
      <c r="H60" s="3" t="inlineStr"/>
      <c r="I60" s="3" t="inlineStr">
        <is>
          <t>NEEDS SOURCE TEXT</t>
        </is>
      </c>
      <c r="J60" s="3" t="inlineStr">
        <is>
          <t>Supply full source text: OSCAL model, Archer data type not visible.</t>
        </is>
      </c>
      <c r="K60" s="3" t="inlineStr">
        <is>
          <t>SUB02</t>
        </is>
      </c>
      <c r="L60" s="3" t="inlineStr"/>
      <c r="M60" s="3" t="inlineStr"/>
    </row>
    <row r="61">
      <c r="A61" s="3" t="inlineStr">
        <is>
          <t>61</t>
        </is>
      </c>
      <c r="B61" s="3" t="inlineStr">
        <is>
          <t>CONTENT_SOURCE</t>
        </is>
      </c>
      <c r="C61" s="3" t="inlineStr">
        <is>
          <t>Catalog - Group</t>
        </is>
      </c>
      <c r="D61" s="3" t="inlineStr">
        <is>
          <t>catalog.group.group.prop[@name='content-sou[CLIPPED]</t>
        </is>
      </c>
      <c r="E61" s="3" t="inlineStr">
        <is>
          <t>Extension Property</t>
        </is>
      </c>
      <c r="F61" s="3" t="inlineStr">
        <is>
          <t>Origin system of the content</t>
        </is>
      </c>
      <c r="G61" s="3" t="inlineStr">
        <is>
          <t>Single</t>
        </is>
      </c>
      <c r="H61" s="3" t="inlineStr"/>
      <c r="I61" s="3" t="inlineStr">
        <is>
          <t>NEEDS SOURCE TEXT</t>
        </is>
      </c>
      <c r="J61" s="3" t="inlineStr">
        <is>
          <t>Supply full source text: OSCAL element path, Archer data type not visible.</t>
        </is>
      </c>
      <c r="K61" s="3" t="inlineStr">
        <is>
          <t>SUB02</t>
        </is>
      </c>
      <c r="L61" s="3" t="inlineStr"/>
      <c r="M61" s="3" t="inlineStr"/>
    </row>
    <row r="62">
      <c r="A62" s="3" t="inlineStr">
        <is>
          <t>62</t>
        </is>
      </c>
      <c r="B62" s="3" t="inlineStr">
        <is>
          <t>DEFAULT_RECORD_PERMISSIONS</t>
        </is>
      </c>
      <c r="C62" s="3" t="inlineStr">
        <is>
          <t>Catalog - Metada[CLIPPED]</t>
        </is>
      </c>
      <c r="D62" s="3" t="inlineStr">
        <is>
          <t>catalog.metadata.role</t>
        </is>
      </c>
      <c r="E62" s="3" t="inlineStr">
        <is>
          <t>Extension Property</t>
        </is>
      </c>
      <c r="F62" s="3" t="inlineStr">
        <is>
          <t>Access control and permissions</t>
        </is>
      </c>
      <c r="G62" s="3" t="inlineStr">
        <is>
          <t>Multi (likely ref[CLIPPED]</t>
        </is>
      </c>
      <c r="H62" s="3" t="inlineStr"/>
      <c r="I62" s="3" t="inlineStr">
        <is>
          <t>NEEDS SOURCE TEXT</t>
        </is>
      </c>
      <c r="J62" s="3" t="inlineStr">
        <is>
          <t>Supply full source text: Cardinality, OSCAL model, Archer data type not visible.</t>
        </is>
      </c>
      <c r="K62" s="3" t="inlineStr">
        <is>
          <t>SUB02</t>
        </is>
      </c>
      <c r="L62" s="3" t="inlineStr"/>
      <c r="M62" s="3" t="inlineStr"/>
    </row>
    <row r="63">
      <c r="A63" s="3" t="inlineStr">
        <is>
          <t>63</t>
        </is>
      </c>
      <c r="B63" s="3" t="inlineStr">
        <is>
          <t>SUB_SECTION_DATE_CREATED</t>
        </is>
      </c>
      <c r="C63" s="3" t="inlineStr">
        <is>
          <t>Catalog - Group</t>
        </is>
      </c>
      <c r="D63" s="3" t="inlineStr">
        <is>
          <t>catalog.group.group.prop[@name='date-create[CLIPPED]</t>
        </is>
      </c>
      <c r="E63" s="3" t="inlineStr">
        <is>
          <t>Transform</t>
        </is>
      </c>
      <c r="F63" s="3" t="inlineStr">
        <is>
          <t>Sub-section creation date; convert to DateTimeWithTimezoneDatatype</t>
        </is>
      </c>
      <c r="G63" s="3" t="inlineStr">
        <is>
          <t>Single</t>
        </is>
      </c>
      <c r="H63" s="3" t="inlineStr"/>
      <c r="I63" s="3" t="inlineStr">
        <is>
          <t>NEEDS SOURCE TEXT</t>
        </is>
      </c>
      <c r="J63" s="3" t="inlineStr">
        <is>
          <t>Supply full source text: OSCAL element path, Archer data type not visible.</t>
        </is>
      </c>
      <c r="K63" s="3" t="inlineStr">
        <is>
          <t>SUB02</t>
        </is>
      </c>
      <c r="L63" s="3" t="inlineStr"/>
      <c r="M63" s="3" t="inlineStr"/>
    </row>
    <row r="64">
      <c r="A64" s="3" t="inlineStr">
        <is>
          <t>64</t>
        </is>
      </c>
      <c r="B64" s="3" t="inlineStr">
        <is>
          <t>SUB_SECTION_LAST_UPDATED</t>
        </is>
      </c>
      <c r="C64" s="3" t="inlineStr">
        <is>
          <t>Catalog - Group</t>
        </is>
      </c>
      <c r="D64" s="3" t="inlineStr">
        <is>
          <t>catalog.group.group.prop[@name='last-update[CLIPPED]</t>
        </is>
      </c>
      <c r="E64" s="3" t="inlineStr">
        <is>
          <t>Transform</t>
        </is>
      </c>
      <c r="F64" s="3" t="inlineStr">
        <is>
          <t>Sub-section last-modified date; convert to DateTimeWithTimezoneDatatype</t>
        </is>
      </c>
      <c r="G64" s="3" t="inlineStr">
        <is>
          <t>Single</t>
        </is>
      </c>
      <c r="H64" s="3" t="inlineStr"/>
      <c r="I64" s="3" t="inlineStr">
        <is>
          <t>NEEDS SOURCE TEXT</t>
        </is>
      </c>
      <c r="J64" s="3" t="inlineStr">
        <is>
          <t>Supply full source text: OSCAL element path, Archer data type not visible.</t>
        </is>
      </c>
      <c r="K64" s="3" t="inlineStr">
        <is>
          <t>SUB02</t>
        </is>
      </c>
      <c r="L64" s="3" t="inlineStr"/>
      <c r="M64" s="3" t="inlineStr"/>
    </row>
    <row r="65">
      <c r="A65" s="3" t="inlineStr">
        <is>
          <t>65</t>
        </is>
      </c>
      <c r="B65" s="3" t="inlineStr">
        <is>
          <t>ARCHER_CONTENT_AUTHORITATIVE_SOURCES_SUB_SECTION_FIRST_PUBLI[CLIPPED]</t>
        </is>
      </c>
      <c r="C65" s="3" t="inlineStr">
        <is>
          <t>Catalog - Metadata</t>
        </is>
      </c>
      <c r="D65" s="3" t="inlineStr">
        <is>
          <t>catalog.metadata.published</t>
        </is>
      </c>
      <c r="E65" s="3" t="inlineStr">
        <is>
          <t>Transform</t>
        </is>
      </c>
      <c r="F65" s="3" t="inlineStr">
        <is>
          <t>First publication in Archer; convert to DateTimeWithTimezoneDatatype</t>
        </is>
      </c>
      <c r="G65" s="3" t="inlineStr">
        <is>
          <t>Single</t>
        </is>
      </c>
      <c r="H65" s="3" t="inlineStr"/>
      <c r="I65" s="3" t="inlineStr">
        <is>
          <t>NEEDS SOURCE TEXT</t>
        </is>
      </c>
      <c r="J65" s="3" t="inlineStr">
        <is>
          <t>Supply full source text: Archer field name, Archer data type not visible.</t>
        </is>
      </c>
      <c r="K65" s="3" t="inlineStr">
        <is>
          <t>SUB02</t>
        </is>
      </c>
      <c r="L65" s="3" t="inlineStr"/>
      <c r="M65" s="3" t="inlineStr"/>
    </row>
    <row r="66">
      <c r="A66" s="3" t="inlineStr">
        <is>
          <t>66</t>
        </is>
      </c>
      <c r="B66" s="3" t="inlineStr">
        <is>
          <t>ARCHER_CONTENT_AUTHORITATIVE_SOURCES_SUB_SECTION_LAST_UPDAT[CLIPPED]</t>
        </is>
      </c>
      <c r="C66" s="3" t="inlineStr">
        <is>
          <t>Catalog - Metadata</t>
        </is>
      </c>
      <c r="D66" s="3" t="inlineStr">
        <is>
          <t>catalog.metadata.last-modified</t>
        </is>
      </c>
      <c r="E66" s="3" t="inlineStr">
        <is>
          <t>Transform</t>
        </is>
      </c>
      <c r="F66" s="3" t="inlineStr">
        <is>
          <t>Last update in Archer; convert to DateTimeWithTimezoneDatatype</t>
        </is>
      </c>
      <c r="G66" s="3" t="inlineStr">
        <is>
          <t>Single</t>
        </is>
      </c>
      <c r="H66" s="3" t="inlineStr"/>
      <c r="I66" s="3" t="inlineStr">
        <is>
          <t>NEEDS SOURCE TEXT</t>
        </is>
      </c>
      <c r="J66" s="3" t="inlineStr">
        <is>
          <t>Supply full source text: Archer field name, Archer data type not visible.</t>
        </is>
      </c>
      <c r="K66" s="3" t="inlineStr">
        <is>
          <t>SUB02</t>
        </is>
      </c>
      <c r="L66" s="3" t="inlineStr"/>
      <c r="M66" s="3" t="inlineStr"/>
    </row>
    <row r="67">
      <c r="A67" s="3" t="inlineStr">
        <is>
          <t>67</t>
        </is>
      </c>
      <c r="B67" s="3" t="inlineStr">
        <is>
          <t>ARCHER_CONTENT_AUTHORITATIVE_SOURCES_SUB_SECTION_CONFIRMED[CLIPPED]</t>
        </is>
      </c>
      <c r="C67" s="3" t="inlineStr">
        <is>
          <t>Catalog - Group</t>
        </is>
      </c>
      <c r="D67" s="3" t="inlineStr">
        <is>
          <t>catalog.group.group.prop[@name='confirmed-[CLIPPED]</t>
        </is>
      </c>
      <c r="E67" s="3" t="inlineStr">
        <is>
          <t>Transform</t>
        </is>
      </c>
      <c r="F67" s="3" t="inlineStr">
        <is>
          <t>Confirmation/verification date; convert to DateTimeWithTimezoneDatatype</t>
        </is>
      </c>
      <c r="G67" s="3" t="inlineStr">
        <is>
          <t>Single</t>
        </is>
      </c>
      <c r="H67" s="3" t="inlineStr"/>
      <c r="I67" s="3" t="inlineStr">
        <is>
          <t>NEEDS SOURCE TEXT</t>
        </is>
      </c>
      <c r="J67" s="3" t="inlineStr">
        <is>
          <t>Supply full source text: Archer field name, OSCAL element path, Archer data type not visible.</t>
        </is>
      </c>
      <c r="K67" s="3" t="inlineStr">
        <is>
          <t>SUB02</t>
        </is>
      </c>
      <c r="L67" s="3" t="inlineStr"/>
      <c r="M67" s="3" t="inlineStr"/>
    </row>
    <row r="68">
      <c r="A68" s="3" t="inlineStr">
        <is>
          <t>68</t>
        </is>
      </c>
      <c r="B68" s="3" t="inlineStr">
        <is>
          <t>INSERT_DATE</t>
        </is>
      </c>
      <c r="C68" s="3" t="inlineStr">
        <is>
          <t>N/A - System Metadata</t>
        </is>
      </c>
      <c r="D68" s="3" t="inlineStr"/>
      <c r="E68" s="3" t="inlineStr">
        <is>
          <t>System Metadata</t>
        </is>
      </c>
      <c r="F68" s="3" t="inlineStr">
        <is>
          <t>ETL/data warehouse field - not typically mapped to OSCAL</t>
        </is>
      </c>
      <c r="G68" s="3" t="inlineStr">
        <is>
          <t>Single</t>
        </is>
      </c>
      <c r="H68" s="3" t="inlineStr"/>
      <c r="I68" s="3" t="inlineStr">
        <is>
          <t>CORE TEXT CAPTURED</t>
        </is>
      </c>
      <c r="J68" s="3" t="inlineStr">
        <is>
          <t>Supply full source text: Archer data type not visible.</t>
        </is>
      </c>
      <c r="K68" s="3" t="inlineStr">
        <is>
          <t>SUB02</t>
        </is>
      </c>
      <c r="L68" s="3" t="inlineStr"/>
      <c r="M68" s="3" t="inlineStr"/>
    </row>
    <row r="69">
      <c r="A69" s="3" t="inlineStr">
        <is>
          <t>69</t>
        </is>
      </c>
      <c r="B69" s="3" t="inlineStr">
        <is>
          <t>UPDATE_DATE</t>
        </is>
      </c>
      <c r="C69" s="3" t="inlineStr">
        <is>
          <t>N/A - System Metadata</t>
        </is>
      </c>
      <c r="D69" s="3" t="inlineStr"/>
      <c r="E69" s="3" t="inlineStr">
        <is>
          <t>System Metadata</t>
        </is>
      </c>
      <c r="F69" s="3" t="inlineStr">
        <is>
          <t>ETL/data warehouse field - not typically mapped to OSCAL</t>
        </is>
      </c>
      <c r="G69" s="3" t="inlineStr">
        <is>
          <t>Single</t>
        </is>
      </c>
      <c r="H69" s="3" t="inlineStr"/>
      <c r="I69" s="3" t="inlineStr">
        <is>
          <t>CORE TEXT CAPTURED</t>
        </is>
      </c>
      <c r="J69" s="3" t="inlineStr">
        <is>
          <t>Supply full source text: Archer data type not visible.</t>
        </is>
      </c>
      <c r="K69" s="3" t="inlineStr">
        <is>
          <t>SUB02</t>
        </is>
      </c>
      <c r="L69" s="3" t="inlineStr"/>
      <c r="M69" s="3" t="inlineStr"/>
    </row>
    <row r="70">
      <c r="A70" s="3" t="inlineStr">
        <is>
          <t>70</t>
        </is>
      </c>
      <c r="B70" s="3" t="inlineStr">
        <is>
          <t>CHECKSUM_VALUE</t>
        </is>
      </c>
      <c r="C70" s="3" t="inlineStr">
        <is>
          <t>N/A - System Metadata</t>
        </is>
      </c>
      <c r="D70" s="3" t="inlineStr"/>
      <c r="E70" s="3" t="inlineStr">
        <is>
          <t>System Metadata</t>
        </is>
      </c>
      <c r="F70" s="3" t="inlineStr">
        <is>
          <t>Data integrity field - not typically mapped to OSCAL</t>
        </is>
      </c>
      <c r="G70" s="3" t="inlineStr">
        <is>
          <t>Single</t>
        </is>
      </c>
      <c r="H70" s="3" t="inlineStr"/>
      <c r="I70" s="3" t="inlineStr">
        <is>
          <t>CORE TEXT CAPTURED</t>
        </is>
      </c>
      <c r="J70" s="3" t="inlineStr">
        <is>
          <t>Supply full source text: Archer data type not visible.</t>
        </is>
      </c>
      <c r="K70" s="3" t="inlineStr">
        <is>
          <t>SUB02</t>
        </is>
      </c>
      <c r="L70" s="3" t="inlineStr"/>
      <c r="M70" s="3" t="inlineStr"/>
    </row>
    <row r="71">
      <c r="A71" s="3" t="inlineStr">
        <is>
          <t>71</t>
        </is>
      </c>
      <c r="B71" s="3" t="inlineStr">
        <is>
          <t>_OF_NONCOMPLIANT_CONTROLS</t>
        </is>
      </c>
      <c r="C71" s="3" t="inlineStr">
        <is>
          <t>Assessment Resu[CLIPPED]</t>
        </is>
      </c>
      <c r="D71" s="3" t="inlineStr">
        <is>
          <t>assessment-results.result.prop[@name='nonco[CLIPPED]</t>
        </is>
      </c>
      <c r="E71" s="3" t="inlineStr">
        <is>
          <t>Extension Property</t>
        </is>
      </c>
      <c r="F71" s="3" t="inlineStr">
        <is>
          <t>Appears to be duplicate/truncated field name - likely COUNT_OF_NONCOMPLIANT_CONTROLS or PCT_OF_NONCOMPLIANT_CONTROLS</t>
        </is>
      </c>
      <c r="G71" s="3" t="inlineStr">
        <is>
          <t>Single</t>
        </is>
      </c>
      <c r="H71" s="3" t="inlineStr"/>
      <c r="I71" s="3" t="inlineStr">
        <is>
          <t>NEEDS SOURCE TEXT</t>
        </is>
      </c>
      <c r="J71" s="3" t="inlineStr">
        <is>
          <t>Supply full source text: OSCAL model, OSCAL element path, Archer data type not visible.</t>
        </is>
      </c>
      <c r="K71" s="3" t="inlineStr">
        <is>
          <t>SUB02</t>
        </is>
      </c>
      <c r="L71" s="3" t="inlineStr"/>
      <c r="M71" s="3" t="inlineStr"/>
    </row>
    <row r="72">
      <c r="A72" s="3" t="inlineStr">
        <is>
          <t>72</t>
        </is>
      </c>
      <c r="B72" s="3" t="inlineStr">
        <is>
          <t>EVIDENCE_REPOSITORY_AUTHORITATIVE_SOURCE__SUBSECTION_INPUT</t>
        </is>
      </c>
      <c r="C72" s="3" t="inlineStr">
        <is>
          <t>Assessment Resu[CLIPPED]</t>
        </is>
      </c>
      <c r="D72" s="3" t="inlineStr">
        <is>
          <t>assessment-results.result.finding.relevant-evid[CLIPPED]</t>
        </is>
      </c>
      <c r="E72" s="3" t="inlineStr">
        <is>
          <t>Reference</t>
        </is>
      </c>
      <c r="F72" s="3" t="inlineStr">
        <is>
          <t>Duplicate field (extra underscore); appears same as EVIDENCE_REPOSITORY_AUTHORITATIVE_SOURCE_SUBSECTION_INPUT - verify source</t>
        </is>
      </c>
      <c r="G72" s="3" t="inlineStr">
        <is>
          <t>Single</t>
        </is>
      </c>
      <c r="H72" s="3" t="inlineStr"/>
      <c r="I72" s="3" t="inlineStr">
        <is>
          <t>NEEDS SOURCE TEXT</t>
        </is>
      </c>
      <c r="J72" s="3" t="inlineStr">
        <is>
          <t>Supply full source text: OSCAL model, OSCAL element path, Archer data type not visible. Confirm exact underscore position/count before SUBSECTION_INPUT.</t>
        </is>
      </c>
      <c r="K72" s="3" t="inlineStr">
        <is>
          <t>SUB02</t>
        </is>
      </c>
      <c r="L72" s="3" t="inlineStr"/>
      <c r="M72" s="3" t="inlineStr"/>
    </row>
    <row r="73">
      <c r="A73" s="3" t="inlineStr">
        <is>
          <t>73</t>
        </is>
      </c>
      <c r="B73" s="3" t="inlineStr">
        <is>
          <t>EVIDENCE_REPOSITORY_RELATED_AUTHORITATIVE_SOURCE__SUB_SECTION[CLIPPED]</t>
        </is>
      </c>
      <c r="C73" s="3" t="inlineStr">
        <is>
          <t>Assessment Resu[CLIPPED]</t>
        </is>
      </c>
      <c r="D73" s="3" t="inlineStr">
        <is>
          <t>assessment-results.result.finding.relevant-evid[CLIPPED]</t>
        </is>
      </c>
      <c r="E73" s="3" t="inlineStr">
        <is>
          <t>Reference</t>
        </is>
      </c>
      <c r="F73" s="3" t="inlineStr">
        <is>
          <t>Duplicate field (extra underscore); appears same as EVIDENCE_REPOSITORY_RELATED_AUTHORITATIVE_SOURCE_SUB_SECTIONS - verify source</t>
        </is>
      </c>
      <c r="G73" s="3" t="inlineStr">
        <is>
          <t>Multi (likely ref[CLIPPED]</t>
        </is>
      </c>
      <c r="H73" s="3" t="inlineStr"/>
      <c r="I73" s="3" t="inlineStr">
        <is>
          <t>NEEDS SOURCE TEXT</t>
        </is>
      </c>
      <c r="J73" s="3" t="inlineStr">
        <is>
          <t>Supply full source text: Archer field name, Cardinality, OSCAL model, OSCAL element path, Archer data type not visible. Confirm full field name and exact underscore position/count.</t>
        </is>
      </c>
      <c r="K73" s="3" t="inlineStr">
        <is>
          <t>SUB02</t>
        </is>
      </c>
      <c r="L73" s="3" t="inlineStr"/>
      <c r="M73" s="3" t="inlineStr"/>
    </row>
    <row r="74">
      <c r="A74" s="3" t="inlineStr">
        <is>
          <t>74</t>
        </is>
      </c>
      <c r="B74" s="3" t="inlineStr">
        <is>
          <t>EVIDENCE_REPOSITORY_SELECTED_AUTHORITATIVE_SOURCE__SUB_SECTI[CLIPPED]</t>
        </is>
      </c>
      <c r="C74" s="3" t="inlineStr">
        <is>
          <t>Assessment Resu[CLIPPED]</t>
        </is>
      </c>
      <c r="D74" s="3" t="inlineStr">
        <is>
          <t>assessment-results.result.finding.relevant-evid[CLIPPED]</t>
        </is>
      </c>
      <c r="E74" s="3" t="inlineStr">
        <is>
          <t>Reference</t>
        </is>
      </c>
      <c r="F74" s="3" t="inlineStr">
        <is>
          <t>Duplicate field (extra underscore); appears same as EVIDENCE_REPOSITORY_SELECTED_AUTHORITATIVE_SOURCE_SUB_SECTIONS - verify source</t>
        </is>
      </c>
      <c r="G74" s="3" t="inlineStr">
        <is>
          <t>Multi (likely ref[CLIPPED]</t>
        </is>
      </c>
      <c r="H74" s="3" t="inlineStr"/>
      <c r="I74" s="3" t="inlineStr">
        <is>
          <t>NEEDS SOURCE TEXT</t>
        </is>
      </c>
      <c r="J74" s="3" t="inlineStr">
        <is>
          <t>Supply full source text: Archer field name, Cardinality, OSCAL model, OSCAL element path, Archer data type not visible. Confirm full field name and exact underscore position/count.</t>
        </is>
      </c>
      <c r="K74" s="3" t="inlineStr">
        <is>
          <t>SUB02</t>
        </is>
      </c>
      <c r="L74" s="3" t="inlineStr"/>
      <c r="M74" s="3" t="inlineStr"/>
    </row>
  </sheetData>
  <autoFilter ref="A1:M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2026-09-17T15:30:14Z</dcterms:created>
  <dcterms:modified xsi:type="dcterms:W3CDTF">2026-09-17T15:30:14Z</dcterms:modified>
</cp:coreProperties>
</file>